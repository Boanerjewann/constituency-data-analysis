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codeName="ThisWorkbook" hidePivotFieldList="1" defaultThemeVersion="166925"/>
  <mc:AlternateContent xmlns:mc="http://schemas.openxmlformats.org/markup-compatibility/2006">
    <mc:Choice Requires="x15">
      <x15ac:absPath xmlns:x15ac="http://schemas.microsoft.com/office/spreadsheetml/2010/11/ac" url="C:\Users\user\Downloads\Boanerjes_Wann_finised_report_meghalaya_constituency_data\notebook\"/>
    </mc:Choice>
  </mc:AlternateContent>
  <xr:revisionPtr revIDLastSave="0" documentId="13_ncr:1_{67D102CC-6F94-4C3B-AC2E-207C8712A345}" xr6:coauthVersionLast="47" xr6:coauthVersionMax="47" xr10:uidLastSave="{00000000-0000-0000-0000-000000000000}"/>
  <bookViews>
    <workbookView xWindow="-120" yWindow="-120" windowWidth="20730" windowHeight="11310" xr2:uid="{00000000-000D-0000-FFFF-FFFF00000000}"/>
  </bookViews>
  <sheets>
    <sheet name="sample_meghalaya_constituency_d" sheetId="1" r:id="rId1"/>
    <sheet name="Section 1" sheetId="2" r:id="rId2"/>
    <sheet name="Section 2_Q1 Analysis" sheetId="5" r:id="rId3"/>
    <sheet name="S2-Q2" sheetId="6" r:id="rId4"/>
    <sheet name="S2-Q3" sheetId="9" r:id="rId5"/>
    <sheet name="S2-Q4" sheetId="10" r:id="rId6"/>
    <sheet name="S4_Dashboard" sheetId="15" r:id="rId7"/>
    <sheet name="Dashboard_Data" sheetId="14" state="hidden" r:id="rId8"/>
  </sheets>
  <definedNames>
    <definedName name="Slicer_District">#N/A</definedName>
    <definedName name="Slicer_Primary_Occupation">#N/A</definedName>
    <definedName name="Slicer_Region">#N/A</definedName>
  </definedNames>
  <calcPr calcId="181029"/>
  <pivotCaches>
    <pivotCache cacheId="1"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Lst>
</workbook>
</file>

<file path=xl/calcChain.xml><?xml version="1.0" encoding="utf-8"?>
<calcChain xmlns="http://schemas.openxmlformats.org/spreadsheetml/2006/main">
  <c r="C11" i="2" l="1"/>
  <c r="C10" i="2"/>
  <c r="C9" i="2"/>
  <c r="C8" i="2"/>
  <c r="C7" i="2"/>
  <c r="C6" i="2"/>
  <c r="C5" i="2"/>
  <c r="C4" i="2"/>
  <c r="C3" i="2"/>
  <c r="C2" i="2"/>
  <c r="B66" i="14"/>
  <c r="B70" i="14"/>
  <c r="B62" i="14"/>
  <c r="B69" i="14"/>
  <c r="B65" i="14"/>
  <c r="B67" i="14"/>
  <c r="B71" i="14"/>
  <c r="B91" i="14"/>
  <c r="B92" i="14"/>
  <c r="B89" i="14"/>
  <c r="B88" i="14"/>
  <c r="B90" i="14"/>
  <c r="G91" i="14"/>
  <c r="B63" i="14"/>
  <c r="B64" i="14"/>
  <c r="B68" i="14"/>
  <c r="G68" i="14"/>
  <c r="G67" i="14"/>
  <c r="G66" i="14"/>
  <c r="G65" i="14"/>
  <c r="G64" i="14"/>
  <c r="B61" i="14"/>
  <c r="H17" i="14"/>
  <c r="H18" i="14"/>
  <c r="H19" i="14"/>
  <c r="H20" i="14"/>
  <c r="H16" i="14"/>
  <c r="G17" i="14"/>
  <c r="G18" i="14"/>
  <c r="G19" i="14"/>
  <c r="G20" i="14"/>
  <c r="G16" i="14"/>
  <c r="G14" i="14"/>
  <c r="F22" i="14" s="1"/>
  <c r="AE3" i="1"/>
  <c r="AE4" i="1"/>
  <c r="AE5" i="1"/>
  <c r="AE6" i="1"/>
  <c r="AE7" i="1"/>
  <c r="AE8" i="1"/>
  <c r="AE9" i="1"/>
  <c r="AE10" i="1"/>
  <c r="AE11" i="1"/>
  <c r="AE12" i="1"/>
  <c r="AE13" i="1"/>
  <c r="AE14" i="1"/>
  <c r="AE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E51" i="1"/>
  <c r="AE52" i="1"/>
  <c r="AE53" i="1"/>
  <c r="AE54" i="1"/>
  <c r="AE55" i="1"/>
  <c r="AE56" i="1"/>
  <c r="AE57" i="1"/>
  <c r="AE58" i="1"/>
  <c r="AE59" i="1"/>
  <c r="AE60" i="1"/>
  <c r="AE2" i="1"/>
  <c r="B9" i="14"/>
  <c r="C9" i="14"/>
  <c r="D9" i="14"/>
  <c r="E9" i="14"/>
  <c r="F9" i="14"/>
  <c r="A9" i="14"/>
  <c r="A32" i="14"/>
  <c r="A33" i="14"/>
  <c r="A34" i="14"/>
  <c r="A35" i="14"/>
  <c r="B35" i="14" s="1"/>
  <c r="A36" i="14"/>
  <c r="A37" i="14"/>
  <c r="A38" i="14"/>
  <c r="A39" i="14"/>
  <c r="B39" i="14" s="1"/>
  <c r="A40" i="14"/>
  <c r="A31" i="14"/>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2" i="1"/>
  <c r="AD60" i="1"/>
  <c r="AD29" i="1"/>
  <c r="AD38" i="1"/>
  <c r="AD58" i="1"/>
  <c r="AD28" i="1"/>
  <c r="AD52" i="1"/>
  <c r="AD43" i="1"/>
  <c r="AD55" i="1"/>
  <c r="AD50" i="1"/>
  <c r="AD36" i="1"/>
  <c r="AD56" i="1"/>
  <c r="AD7" i="1"/>
  <c r="AD30" i="1"/>
  <c r="AD25" i="1"/>
  <c r="AD12" i="1"/>
  <c r="AD6" i="1"/>
  <c r="AD22" i="1"/>
  <c r="AD37" i="1"/>
  <c r="AD57" i="1"/>
  <c r="AD54" i="1"/>
  <c r="AD59" i="1"/>
  <c r="AD53" i="1"/>
  <c r="AD10" i="1"/>
  <c r="AD17" i="1"/>
  <c r="AD46" i="1"/>
  <c r="AD15" i="1"/>
  <c r="AD11" i="1"/>
  <c r="AD41" i="1"/>
  <c r="AD2" i="1"/>
  <c r="AD21" i="1"/>
  <c r="AD34" i="1"/>
  <c r="AD33" i="1"/>
  <c r="AD44" i="1"/>
  <c r="AD27" i="1"/>
  <c r="AD8" i="1"/>
  <c r="AD32" i="1"/>
  <c r="AD45" i="1"/>
  <c r="AD51" i="1"/>
  <c r="AD14" i="1"/>
  <c r="AD23" i="1"/>
  <c r="AD49" i="1"/>
  <c r="AD40" i="1"/>
  <c r="AD16" i="1"/>
  <c r="AD18" i="1"/>
  <c r="AD24" i="1"/>
  <c r="AD47" i="1"/>
  <c r="AD39" i="1"/>
  <c r="AD4" i="1"/>
  <c r="AD19" i="1"/>
  <c r="AD20" i="1"/>
  <c r="AD48" i="1"/>
  <c r="AD5" i="1"/>
  <c r="AD3" i="1"/>
  <c r="AD31" i="1"/>
  <c r="AD26" i="1"/>
  <c r="AD35" i="1"/>
  <c r="AD42" i="1"/>
  <c r="AD13" i="1"/>
  <c r="AD9" i="1"/>
  <c r="F11" i="2"/>
  <c r="F10" i="2"/>
  <c r="F9" i="2"/>
  <c r="F8" i="2"/>
  <c r="F7" i="2"/>
  <c r="F6" i="2"/>
  <c r="F5" i="2"/>
  <c r="F4" i="2"/>
  <c r="F3" i="2"/>
  <c r="F2" i="2"/>
  <c r="E11" i="2"/>
  <c r="E10" i="2"/>
  <c r="E9" i="2"/>
  <c r="E8" i="2"/>
  <c r="E7" i="2"/>
  <c r="E6" i="2"/>
  <c r="E5" i="2"/>
  <c r="E4" i="2"/>
  <c r="E3" i="2"/>
  <c r="E2" i="2"/>
  <c r="D11" i="2"/>
  <c r="D10" i="2"/>
  <c r="D9" i="2"/>
  <c r="D8" i="2"/>
  <c r="D7" i="2"/>
  <c r="D6" i="2"/>
  <c r="D5" i="2"/>
  <c r="D4" i="2"/>
  <c r="D3" i="2"/>
  <c r="D2" i="2"/>
  <c r="B11" i="2"/>
  <c r="B10" i="2"/>
  <c r="B9" i="2"/>
  <c r="B8" i="2"/>
  <c r="B7" i="2"/>
  <c r="B6" i="2"/>
  <c r="B5" i="2"/>
  <c r="B4" i="2"/>
  <c r="B3" i="2"/>
  <c r="B2" i="2"/>
  <c r="F91" i="14" l="1"/>
  <c r="C89" i="14" s="1"/>
  <c r="B38" i="14"/>
  <c r="B34" i="14"/>
  <c r="B31" i="14"/>
  <c r="B37" i="14"/>
  <c r="B33" i="14"/>
  <c r="B40" i="14"/>
  <c r="B36" i="14"/>
  <c r="B32" i="14"/>
  <c r="F89" i="14"/>
  <c r="E93" i="14" s="1"/>
  <c r="F68" i="14"/>
  <c r="F65" i="14"/>
  <c r="F67" i="14"/>
  <c r="F62" i="14"/>
  <c r="F66" i="14"/>
  <c r="F64" i="14"/>
  <c r="D18" i="14"/>
  <c r="D32" i="14" s="1"/>
  <c r="D17" i="14"/>
  <c r="D31" i="14" s="1"/>
  <c r="C17" i="14"/>
  <c r="C31" i="14" s="1"/>
  <c r="C18" i="14"/>
  <c r="C32" i="14" s="1"/>
  <c r="C23" i="14"/>
  <c r="C37" i="14" s="1"/>
  <c r="C20" i="14"/>
  <c r="C34" i="14" s="1"/>
  <c r="D21" i="14"/>
  <c r="D35" i="14" s="1"/>
  <c r="D24" i="14"/>
  <c r="D38" i="14" s="1"/>
  <c r="C22" i="14"/>
  <c r="C36" i="14" s="1"/>
  <c r="C19" i="14"/>
  <c r="C33" i="14" s="1"/>
  <c r="D25" i="14"/>
  <c r="D39" i="14" s="1"/>
  <c r="D20" i="14"/>
  <c r="D34" i="14" s="1"/>
  <c r="C25" i="14"/>
  <c r="C39" i="14" s="1"/>
  <c r="C21" i="14"/>
  <c r="C35" i="14" s="1"/>
  <c r="D23" i="14"/>
  <c r="D37" i="14" s="1"/>
  <c r="D19" i="14"/>
  <c r="D33" i="14" s="1"/>
  <c r="C26" i="14"/>
  <c r="C40" i="14" s="1"/>
  <c r="C24" i="14"/>
  <c r="C38" i="14" s="1"/>
  <c r="D26" i="14"/>
  <c r="D40" i="14" s="1"/>
  <c r="D22" i="14"/>
  <c r="D36" i="14" s="1"/>
  <c r="C91" i="14" l="1"/>
  <c r="C90" i="14"/>
  <c r="C92" i="14"/>
  <c r="E70" i="14"/>
  <c r="C71" i="14"/>
  <c r="C62" i="14"/>
  <c r="C70" i="14"/>
  <c r="C65" i="14"/>
  <c r="C63" i="14"/>
  <c r="C64" i="14"/>
  <c r="C69" i="14"/>
  <c r="C67" i="14"/>
  <c r="C68" i="14"/>
  <c r="C66" i="14"/>
</calcChain>
</file>

<file path=xl/sharedStrings.xml><?xml version="1.0" encoding="utf-8"?>
<sst xmlns="http://schemas.openxmlformats.org/spreadsheetml/2006/main" count="582" uniqueCount="238">
  <si>
    <t>Constituency_ID</t>
  </si>
  <si>
    <t>Constituency_Name</t>
  </si>
  <si>
    <t>District</t>
  </si>
  <si>
    <t>Region</t>
  </si>
  <si>
    <t>Electorate_2023</t>
  </si>
  <si>
    <t>Voter_Turnout_2023_Pct</t>
  </si>
  <si>
    <t>Total_Households</t>
  </si>
  <si>
    <t>BPL_Households_Pct</t>
  </si>
  <si>
    <t>BPL_Households_Count</t>
  </si>
  <si>
    <t>MGNREGS_Active_Job_Cards</t>
  </si>
  <si>
    <t>MGNREGS_Person_Days_FY2425</t>
  </si>
  <si>
    <t>PM_Awas_Yojana_Sanctioned</t>
  </si>
  <si>
    <t>PM_Awas_Yojana_Completed</t>
  </si>
  <si>
    <t>PM_Awas_Completion_Pct</t>
  </si>
  <si>
    <t>JJM_Functional_Tap_Connections_Pct</t>
  </si>
  <si>
    <t>Road_Length_Km</t>
  </si>
  <si>
    <t>Pucca_Road_Pct</t>
  </si>
  <si>
    <t>Health_Sub_Centres</t>
  </si>
  <si>
    <t>Primary_Health_Centres</t>
  </si>
  <si>
    <t>Community_Health_Centres</t>
  </si>
  <si>
    <t>Govt_Primary_Schools</t>
  </si>
  <si>
    <t>Govt_Secondary_Schools</t>
  </si>
  <si>
    <t>Literacy_Rate_Pct</t>
  </si>
  <si>
    <t>PM_KISAN_Beneficiaries</t>
  </si>
  <si>
    <t>Internet_4G_Coverage_Pct</t>
  </si>
  <si>
    <t>Constituency_Fund_Allocated_Lakhs</t>
  </si>
  <si>
    <t>Constituency_Fund_Utilized_Pct</t>
  </si>
  <si>
    <t>Primary_Occupation</t>
  </si>
  <si>
    <t>East Khasi Hills</t>
  </si>
  <si>
    <t>Khasi Hills</t>
  </si>
  <si>
    <t>Trade &amp; Services</t>
  </si>
  <si>
    <t>MH002</t>
  </si>
  <si>
    <t>Pynthorumkhrah</t>
  </si>
  <si>
    <t>Government Employment</t>
  </si>
  <si>
    <t>MH003</t>
  </si>
  <si>
    <t>Nongthymmai</t>
  </si>
  <si>
    <t>MH004</t>
  </si>
  <si>
    <t>Shillong East</t>
  </si>
  <si>
    <t>MH005</t>
  </si>
  <si>
    <t>Shillong West</t>
  </si>
  <si>
    <t>MH006</t>
  </si>
  <si>
    <t>Shillong North</t>
  </si>
  <si>
    <t>MH007</t>
  </si>
  <si>
    <t>Shillong South</t>
  </si>
  <si>
    <t>MH008</t>
  </si>
  <si>
    <t>East Shillong</t>
  </si>
  <si>
    <t>MH009</t>
  </si>
  <si>
    <t>Mawphlang</t>
  </si>
  <si>
    <t>Coal &amp; Limestone Mining</t>
  </si>
  <si>
    <t>MH010</t>
  </si>
  <si>
    <t>Mawryngkneng</t>
  </si>
  <si>
    <t>Horticulture</t>
  </si>
  <si>
    <t>MH011</t>
  </si>
  <si>
    <t>Nongkrem</t>
  </si>
  <si>
    <t>Agriculture</t>
  </si>
  <si>
    <t>MH012</t>
  </si>
  <si>
    <t>Sohiong</t>
  </si>
  <si>
    <t>MH013</t>
  </si>
  <si>
    <t>Pynursla</t>
  </si>
  <si>
    <t>Agriculture &amp; Forestry</t>
  </si>
  <si>
    <t>MH014</t>
  </si>
  <si>
    <t>Mawkynroh-Umsning</t>
  </si>
  <si>
    <t>MH015</t>
  </si>
  <si>
    <t>Shillong Cantonment</t>
  </si>
  <si>
    <t>MH016</t>
  </si>
  <si>
    <t>Nongmynsong</t>
  </si>
  <si>
    <t>MH017</t>
  </si>
  <si>
    <t>Jaiaw</t>
  </si>
  <si>
    <t>MH018</t>
  </si>
  <si>
    <t>Sohra</t>
  </si>
  <si>
    <t>MH019</t>
  </si>
  <si>
    <t>Nongstoin</t>
  </si>
  <si>
    <t>West Khasi Hills</t>
  </si>
  <si>
    <t>MH020</t>
  </si>
  <si>
    <t>Ranikor</t>
  </si>
  <si>
    <t>MH021</t>
  </si>
  <si>
    <t>Mairang</t>
  </si>
  <si>
    <t>MH022</t>
  </si>
  <si>
    <t>Mawshynrut</t>
  </si>
  <si>
    <t>MH023</t>
  </si>
  <si>
    <t>Rambrai-Jyrngam</t>
  </si>
  <si>
    <t>MH024</t>
  </si>
  <si>
    <t>Nongpoh</t>
  </si>
  <si>
    <t>Ri Bhoi</t>
  </si>
  <si>
    <t>MH025</t>
  </si>
  <si>
    <t>Jirang</t>
  </si>
  <si>
    <t>MH026</t>
  </si>
  <si>
    <t>Umsning</t>
  </si>
  <si>
    <t>MH027</t>
  </si>
  <si>
    <t>Umroi</t>
  </si>
  <si>
    <t>MH028</t>
  </si>
  <si>
    <t>Phulbari</t>
  </si>
  <si>
    <t>MH029</t>
  </si>
  <si>
    <t>Jowai</t>
  </si>
  <si>
    <t>West Jaintia Hills</t>
  </si>
  <si>
    <t>Jaintia Hills</t>
  </si>
  <si>
    <t>MH030</t>
  </si>
  <si>
    <t>Raliang</t>
  </si>
  <si>
    <t>MH031</t>
  </si>
  <si>
    <t>Shangpung</t>
  </si>
  <si>
    <t>MH032</t>
  </si>
  <si>
    <t>Mowkaiaw</t>
  </si>
  <si>
    <t>MH033</t>
  </si>
  <si>
    <t>Amlarem</t>
  </si>
  <si>
    <t>MH034</t>
  </si>
  <si>
    <t>Nartiang</t>
  </si>
  <si>
    <t>MH035</t>
  </si>
  <si>
    <t>Mynso</t>
  </si>
  <si>
    <t>East Jaintia Hills</t>
  </si>
  <si>
    <t>MH036</t>
  </si>
  <si>
    <t>Khliehriat</t>
  </si>
  <si>
    <t>MH037</t>
  </si>
  <si>
    <t>Sutnga-Saipung</t>
  </si>
  <si>
    <t>MH038</t>
  </si>
  <si>
    <t>Laskein</t>
  </si>
  <si>
    <t>MH039</t>
  </si>
  <si>
    <t>Tura</t>
  </si>
  <si>
    <t>West Garo Hills</t>
  </si>
  <si>
    <t>Garo Hills</t>
  </si>
  <si>
    <t>MH040</t>
  </si>
  <si>
    <t>Dadenggre</t>
  </si>
  <si>
    <t>MH041</t>
  </si>
  <si>
    <t>North Tura</t>
  </si>
  <si>
    <t>MH042</t>
  </si>
  <si>
    <t>South Tura</t>
  </si>
  <si>
    <t>MH043</t>
  </si>
  <si>
    <t>Rajabala</t>
  </si>
  <si>
    <t>MH044</t>
  </si>
  <si>
    <t>Selsella</t>
  </si>
  <si>
    <t>MH045</t>
  </si>
  <si>
    <t>Dalu</t>
  </si>
  <si>
    <t>MH046</t>
  </si>
  <si>
    <t>Resubelpara</t>
  </si>
  <si>
    <t>North Garo Hills</t>
  </si>
  <si>
    <t>MH047</t>
  </si>
  <si>
    <t>Bajengdoba</t>
  </si>
  <si>
    <t>MH048</t>
  </si>
  <si>
    <t>Mendipathar</t>
  </si>
  <si>
    <t>MH049</t>
  </si>
  <si>
    <t>Williamnagar</t>
  </si>
  <si>
    <t>East Garo Hills</t>
  </si>
  <si>
    <t>MH050</t>
  </si>
  <si>
    <t>Raksamgiri</t>
  </si>
  <si>
    <t>MH051</t>
  </si>
  <si>
    <t>Songsak</t>
  </si>
  <si>
    <t>MH052</t>
  </si>
  <si>
    <t>Rongjeng</t>
  </si>
  <si>
    <t>MH053</t>
  </si>
  <si>
    <t>Ampati</t>
  </si>
  <si>
    <t>South West Garo Hills</t>
  </si>
  <si>
    <t>MH054</t>
  </si>
  <si>
    <t>Mahendraganj</t>
  </si>
  <si>
    <t>MH055</t>
  </si>
  <si>
    <t>Gambegre</t>
  </si>
  <si>
    <t>MH056</t>
  </si>
  <si>
    <t>Baghmara</t>
  </si>
  <si>
    <t>South Garo Hills</t>
  </si>
  <si>
    <t>MH057</t>
  </si>
  <si>
    <t>Chokpot</t>
  </si>
  <si>
    <t>MH058</t>
  </si>
  <si>
    <t>Phulbari (SGH)</t>
  </si>
  <si>
    <t>MH059</t>
  </si>
  <si>
    <t>Kharkutta</t>
  </si>
  <si>
    <t>MH060</t>
  </si>
  <si>
    <t>Mawhati</t>
  </si>
  <si>
    <t>Metric</t>
  </si>
  <si>
    <t>Mean</t>
  </si>
  <si>
    <t>Median</t>
  </si>
  <si>
    <t>Min</t>
  </si>
  <si>
    <t>Max</t>
  </si>
  <si>
    <t>Std Dev</t>
  </si>
  <si>
    <t>Inconsistencies have found in MGNREGS data set</t>
  </si>
  <si>
    <t>Some are beyond 10,000 while others are less than 5000 and this indicates the disparity in rural and urban</t>
  </si>
  <si>
    <t>Some high road length have low pucca road</t>
  </si>
  <si>
    <t>This indicates low road quality</t>
  </si>
  <si>
    <t>Huge Variation</t>
  </si>
  <si>
    <t>This suggest uneven distribution</t>
  </si>
  <si>
    <t>Data Quality Issues/Analysis</t>
  </si>
  <si>
    <t>Variation is high - some funds are under utlitised some are highly utilised</t>
  </si>
  <si>
    <t>This comes under lack of governance and execution</t>
  </si>
  <si>
    <t>Derived_Col_Infrastructure_Index</t>
  </si>
  <si>
    <t>Derived_Col_Welfare Dependency</t>
  </si>
  <si>
    <t>Derive_Col_Low Fund Utilisation Flag</t>
  </si>
  <si>
    <t>The Welfare Dependency index combines poverty levels (BPL %) with reliance on public employment (MGNREGS intensity). It provides a more holistic measure of socio-economic vulnerability than either variable alone. Constituencies with high values on this index are likely to have weaker economic structures and higher dependence on government welfare schemes. This makes the metric useful for identifying regions that may require targeted policy intervention and closer monitoring of scheme delivery.</t>
  </si>
  <si>
    <t>The Infrastructure Index combines road quality, digital connectivity, and water access into a single composite metric. This simplifies comparison across constituencies and helps identify areas with overall infrastructure deficits rather than isolated gaps.</t>
  </si>
  <si>
    <t>A Fund Utilisation Flag was created to classify constituencies based on their utilisation efficiency. Constituencies with utilisation below 60% were flagged as “Low Utilisation,” indicating potential governance or execution challenges. This transformation simplifies analysis by highlighting underperforming areas that may require administrative attention.</t>
  </si>
  <si>
    <t>Grand Total</t>
  </si>
  <si>
    <t>Average of JJM_Functional_Tap_Connections_Pct</t>
  </si>
  <si>
    <t>Average of Pucca_Road_Pct</t>
  </si>
  <si>
    <t>Average of Literacy_Rate_Pct</t>
  </si>
  <si>
    <t>Ri Bhoi region has been change to Ri Bhoi from Khasi aligning with it's actual region</t>
  </si>
  <si>
    <t>Derived Col</t>
  </si>
  <si>
    <t>Regional disparities are clearly visible across Meghalaya. Khasi Hills performs the strongest across all indicators, with the highest JJM water coverage (62.2%), strong road infrastructure (61.3%), and the highest literacy rate (78.4%), reflecting its relatively urbanised profile.</t>
  </si>
  <si>
    <t>Garo Hills emerges as the most underserved region, particularly in water access, with the lowest JJM coverage (43.4%), along with moderate road infrastructure and lower literacy levels. This indicates gaps in basic service delivery.</t>
  </si>
  <si>
    <t>Jaintia Hills also shows infrastructure challenges, particularly in road quality (49.9%) and water access, making it weaker than Garo Hills in physical connectivity.</t>
  </si>
  <si>
    <t>Ri Bhoi presents an interesting contrast, with the highest pucca road percentage (67%) and relatively strong water access, but the lowest literacy rate (72.6%). This suggests that infrastructure improvements do not always directly translate into social development outcomes.</t>
  </si>
  <si>
    <t>Overall, Garo Hills is the most underserved region, primarily due to low water access and relatively weaker infrastructure.</t>
  </si>
  <si>
    <t>Bottom 5 Constituencies - PM Awas Completion</t>
  </si>
  <si>
    <t>Bottom 5 Constituencies - JJM Coverage</t>
  </si>
  <si>
    <t>JJM Coverage - The above comparison indicates delivery affect BPL</t>
  </si>
  <si>
    <t>PM Awas doesn't affect BPL percentage/Poorer constituencies doesn't affect by neglect of PM Awas Execution/delivery</t>
  </si>
  <si>
    <t>Pattern 1</t>
  </si>
  <si>
    <t>Out of 5 consituency, 3 are from Garo Hills</t>
  </si>
  <si>
    <t>Underutilisation is regional concentrated</t>
  </si>
  <si>
    <t>Pattern 2</t>
  </si>
  <si>
    <t>BPL&gt;40%</t>
  </si>
  <si>
    <t>This could potential link to low administrative/governance</t>
  </si>
  <si>
    <t>Pattern 3</t>
  </si>
  <si>
    <t>Lower infrastructure index indicates low communication which potential leads to harded implementation of projects</t>
  </si>
  <si>
    <t>Pattern 4</t>
  </si>
  <si>
    <t>Funds allocated is high whereas execution is low</t>
  </si>
  <si>
    <t>Hypothesis</t>
  </si>
  <si>
    <t>Interestingly, constituencies such as Gambegre and Raksamgiri receive relatively high fund allocations but still exhibit low utilisation, suggesting that the issue lies not in fund availability but in implementation capacity.</t>
  </si>
  <si>
    <t>My findings/analysis</t>
  </si>
  <si>
    <t xml:space="preserve">JJM_Functional_Tap_Connections_Pct </t>
  </si>
  <si>
    <t xml:space="preserve">BPL_Households_Pct </t>
  </si>
  <si>
    <t xml:space="preserve">Pucca_Road_Pct </t>
  </si>
  <si>
    <t>An interesting pattern observed at the regional level is the mismatch between physical infrastructure and digital connectivity. Ri Bhoi stands out as an anomaly: it has the highest pucca road percentage (67%) and relatively strong water access (58%), yet it has the lowest 4G coverage (32%) among all regions. Additionally, its literacy rate remains moderate rather than high.</t>
  </si>
  <si>
    <t>This suggests that improvements in traditional infrastructure such as roads and water supply do not necessarily translate into better digital connectivity or human development outcomes.</t>
  </si>
  <si>
    <t>A possible explanation is that digital infrastructure expansion depends on different factors, such as telecom investment, terrain suitability, and population density, which may not align with road development.</t>
  </si>
  <si>
    <t>This highlights the need for balanced development strategies, where physical infrastructure, digital access, and social indicators are improved simultaneously rather than in isolation.</t>
  </si>
  <si>
    <t>“Relationship Between Poverty and Fund Utilisation</t>
  </si>
  <si>
    <t>Poverty vs water access relationship</t>
  </si>
  <si>
    <t>Regional Comparison Chart</t>
  </si>
  <si>
    <t>Fund Utilisation%</t>
  </si>
  <si>
    <t>Range</t>
  </si>
  <si>
    <t>Smallest</t>
  </si>
  <si>
    <t>Largest</t>
  </si>
  <si>
    <t>Top 5</t>
  </si>
  <si>
    <t>Bottom 5</t>
  </si>
  <si>
    <t xml:space="preserve">Voter_Turnout_2023_Pct </t>
  </si>
  <si>
    <t xml:space="preserve">PM_Awas_Completion_Pct </t>
  </si>
  <si>
    <t>Voter_Pct</t>
  </si>
  <si>
    <t>BPL_Pct</t>
  </si>
  <si>
    <t>PM_Awas_Pct</t>
  </si>
  <si>
    <t>JJM_Pct</t>
  </si>
  <si>
    <t>Macro Control</t>
  </si>
  <si>
    <t>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</si>
</sst>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11"/>
      <color theme="1"/>
      <name val="Segoe UI"/>
      <family val="2"/>
    </font>
    <font>
      <b/>
      <sz val="11"/>
      <color theme="1"/>
      <name val="Segoe UI"/>
      <family val="2"/>
    </font>
    <font>
      <sz val="8"/>
      <color theme="1"/>
      <name val="Segoe UI"/>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theme="4" tint="0.79998168889431442"/>
        <bgColor theme="4" tint="0.79998168889431442"/>
      </patternFill>
    </fill>
    <fill>
      <patternFill patternType="solid">
        <fgColor theme="5" tint="-0.499984740745262"/>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5" tint="0.59999389629810485"/>
        <bgColor theme="4" tint="0.79998168889431442"/>
      </patternFill>
    </fill>
    <fill>
      <patternFill patternType="solid">
        <fgColor rgb="FFFFFF0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bottom style="thin">
        <color theme="4" tint="0.39997558519241921"/>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2">
    <xf numFmtId="0" fontId="0" fillId="0" borderId="0" xfId="0"/>
    <xf numFmtId="0" fontId="18" fillId="0" borderId="0" xfId="0" applyFont="1"/>
    <xf numFmtId="0" fontId="19" fillId="0" borderId="0" xfId="0" applyFont="1"/>
    <xf numFmtId="0" fontId="18" fillId="0" borderId="0" xfId="0" applyFont="1" applyAlignment="1">
      <alignment horizontal="center"/>
    </xf>
    <xf numFmtId="0" fontId="19" fillId="33" borderId="10" xfId="0" applyFont="1" applyFill="1" applyBorder="1" applyAlignment="1">
      <alignment horizontal="center"/>
    </xf>
    <xf numFmtId="0" fontId="18" fillId="0" borderId="10" xfId="0" applyFont="1" applyBorder="1" applyAlignment="1">
      <alignment horizontal="center"/>
    </xf>
    <xf numFmtId="0" fontId="18" fillId="0" borderId="11" xfId="0" applyFont="1" applyBorder="1" applyAlignment="1">
      <alignment horizontal="center"/>
    </xf>
    <xf numFmtId="0" fontId="18" fillId="0" borderId="12" xfId="0" applyFont="1" applyBorder="1" applyAlignment="1">
      <alignment horizontal="center"/>
    </xf>
    <xf numFmtId="0" fontId="18" fillId="0" borderId="15" xfId="0" applyFont="1" applyBorder="1" applyAlignment="1">
      <alignment horizontal="center"/>
    </xf>
    <xf numFmtId="0" fontId="18" fillId="0" borderId="16" xfId="0" applyFont="1" applyBorder="1" applyAlignment="1">
      <alignment horizontal="center"/>
    </xf>
    <xf numFmtId="0" fontId="18" fillId="0" borderId="17" xfId="0" applyFont="1" applyBorder="1" applyAlignment="1">
      <alignment horizontal="center"/>
    </xf>
    <xf numFmtId="0" fontId="19" fillId="35" borderId="13" xfId="0" applyFont="1" applyFill="1" applyBorder="1" applyAlignment="1">
      <alignment horizontal="center"/>
    </xf>
    <xf numFmtId="0" fontId="21" fillId="0" borderId="0" xfId="0" applyFont="1" applyAlignment="1">
      <alignment vertical="center"/>
    </xf>
    <xf numFmtId="0" fontId="23" fillId="0" borderId="10" xfId="0" applyFont="1" applyBorder="1"/>
    <xf numFmtId="0" fontId="20" fillId="36" borderId="10" xfId="0" applyFont="1" applyFill="1" applyBorder="1" applyAlignment="1">
      <alignment horizontal="center"/>
    </xf>
    <xf numFmtId="2" fontId="18" fillId="0" borderId="10" xfId="0" applyNumberFormat="1" applyFont="1" applyBorder="1" applyAlignment="1">
      <alignment horizontal="center"/>
    </xf>
    <xf numFmtId="164" fontId="18" fillId="0" borderId="10" xfId="0" applyNumberFormat="1" applyFont="1" applyBorder="1" applyAlignment="1">
      <alignment horizontal="center"/>
    </xf>
    <xf numFmtId="1" fontId="18" fillId="0" borderId="10" xfId="0" applyNumberFormat="1" applyFont="1" applyBorder="1" applyAlignment="1">
      <alignment horizontal="center"/>
    </xf>
    <xf numFmtId="0" fontId="20" fillId="35" borderId="10" xfId="0" applyFont="1" applyFill="1" applyBorder="1" applyAlignment="1">
      <alignment horizontal="center"/>
    </xf>
    <xf numFmtId="0" fontId="19" fillId="38" borderId="14" xfId="0" applyFont="1" applyFill="1" applyBorder="1" applyAlignment="1">
      <alignment horizontal="center"/>
    </xf>
    <xf numFmtId="0" fontId="20" fillId="38" borderId="10" xfId="0" applyFont="1" applyFill="1" applyBorder="1" applyAlignment="1">
      <alignment horizontal="center"/>
    </xf>
    <xf numFmtId="0" fontId="23" fillId="0" borderId="0" xfId="0" applyFont="1" applyAlignment="1">
      <alignment vertical="center" wrapText="1"/>
    </xf>
    <xf numFmtId="0" fontId="18" fillId="0" borderId="0" xfId="0" pivotButton="1" applyFont="1"/>
    <xf numFmtId="164" fontId="18" fillId="0" borderId="0" xfId="0" applyNumberFormat="1" applyFont="1" applyAlignment="1">
      <alignment horizontal="center"/>
    </xf>
    <xf numFmtId="0" fontId="23" fillId="0" borderId="0" xfId="0" applyFont="1" applyAlignment="1">
      <alignment vertical="center"/>
    </xf>
    <xf numFmtId="0" fontId="19" fillId="39" borderId="18" xfId="0" applyFont="1" applyFill="1" applyBorder="1" applyAlignment="1">
      <alignment horizontal="left"/>
    </xf>
    <xf numFmtId="0" fontId="19" fillId="0" borderId="0" xfId="0" applyFont="1" applyAlignment="1">
      <alignment horizontal="left"/>
    </xf>
    <xf numFmtId="0" fontId="18" fillId="0" borderId="0" xfId="0" applyFont="1" applyAlignment="1">
      <alignment horizontal="left"/>
    </xf>
    <xf numFmtId="0" fontId="20" fillId="36" borderId="10" xfId="0" applyFont="1" applyFill="1" applyBorder="1" applyAlignment="1">
      <alignment horizontal="left"/>
    </xf>
    <xf numFmtId="0" fontId="20" fillId="39" borderId="10" xfId="0" applyFont="1" applyFill="1" applyBorder="1" applyAlignment="1">
      <alignment horizontal="left"/>
    </xf>
    <xf numFmtId="0" fontId="0" fillId="0" borderId="0" xfId="0" applyAlignment="1">
      <alignment vertical="top"/>
    </xf>
    <xf numFmtId="0" fontId="18" fillId="34" borderId="10" xfId="0" applyFont="1" applyFill="1" applyBorder="1" applyAlignment="1">
      <alignment horizontal="center"/>
    </xf>
    <xf numFmtId="0" fontId="18" fillId="40" borderId="10" xfId="0" applyFont="1" applyFill="1" applyBorder="1" applyAlignment="1">
      <alignment horizontal="center"/>
    </xf>
    <xf numFmtId="0" fontId="18" fillId="37" borderId="10" xfId="0" applyFont="1" applyFill="1" applyBorder="1" applyAlignment="1">
      <alignment horizontal="center"/>
    </xf>
    <xf numFmtId="0" fontId="23" fillId="0" borderId="18" xfId="0" applyFont="1" applyBorder="1" applyAlignment="1">
      <alignment vertical="center"/>
    </xf>
    <xf numFmtId="1" fontId="18" fillId="34" borderId="10" xfId="0" applyNumberFormat="1" applyFont="1" applyFill="1" applyBorder="1" applyAlignment="1">
      <alignment horizontal="center"/>
    </xf>
    <xf numFmtId="0" fontId="18" fillId="0" borderId="0" xfId="0" applyFont="1" applyAlignment="1">
      <alignment horizontal="left" vertical="top" wrapText="1"/>
    </xf>
    <xf numFmtId="0" fontId="19" fillId="0" borderId="0" xfId="0" applyFont="1" applyAlignment="1">
      <alignment vertical="top" wrapText="1"/>
    </xf>
    <xf numFmtId="0" fontId="18" fillId="0" borderId="0" xfId="0" applyFont="1" applyAlignment="1">
      <alignment vertical="top" wrapText="1"/>
    </xf>
    <xf numFmtId="1" fontId="18" fillId="0" borderId="0" xfId="0" applyNumberFormat="1" applyFont="1" applyAlignment="1">
      <alignment horizontal="center"/>
    </xf>
    <xf numFmtId="0" fontId="18" fillId="0" borderId="10" xfId="0" applyFont="1" applyBorder="1"/>
    <xf numFmtId="0" fontId="19" fillId="34" borderId="10" xfId="0" applyFont="1" applyFill="1" applyBorder="1" applyAlignment="1">
      <alignment horizontal="center"/>
    </xf>
    <xf numFmtId="0" fontId="22" fillId="0" borderId="0" xfId="0" applyFont="1" applyAlignment="1">
      <alignment vertical="center"/>
    </xf>
    <xf numFmtId="0" fontId="19" fillId="0" borderId="0" xfId="0" applyFont="1" applyAlignment="1">
      <alignment vertical="center"/>
    </xf>
    <xf numFmtId="0" fontId="19" fillId="34" borderId="19" xfId="0" applyFont="1" applyFill="1" applyBorder="1" applyAlignment="1">
      <alignment horizontal="center"/>
    </xf>
    <xf numFmtId="0" fontId="18" fillId="0" borderId="10" xfId="0" applyFont="1" applyBorder="1" applyAlignment="1">
      <alignment horizontal="center" vertical="center"/>
    </xf>
    <xf numFmtId="9" fontId="18" fillId="0" borderId="0" xfId="1" applyFont="1" applyAlignment="1">
      <alignment horizontal="center"/>
    </xf>
    <xf numFmtId="0" fontId="18" fillId="0" borderId="0" xfId="0" applyFont="1" applyAlignment="1">
      <alignment horizontal="center" vertical="center"/>
    </xf>
    <xf numFmtId="164" fontId="18" fillId="0" borderId="10" xfId="0" applyNumberFormat="1" applyFont="1" applyBorder="1" applyAlignment="1">
      <alignment horizontal="center" vertical="center"/>
    </xf>
    <xf numFmtId="0" fontId="19" fillId="34" borderId="19" xfId="0" applyFont="1" applyFill="1" applyBorder="1"/>
    <xf numFmtId="0" fontId="18" fillId="41" borderId="0" xfId="0" applyFont="1" applyFill="1" applyAlignment="1">
      <alignment horizontal="left"/>
    </xf>
    <xf numFmtId="0" fontId="19" fillId="34" borderId="19" xfId="0" applyFont="1" applyFill="1" applyBorder="1" applyAlignment="1">
      <alignment horizontal="center"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31">
    <dxf>
      <font>
        <sz val="8"/>
      </font>
    </dxf>
    <dxf>
      <font>
        <sz val="8"/>
      </font>
    </dxf>
    <dxf>
      <font>
        <sz val="8"/>
      </font>
    </dxf>
    <dxf>
      <font>
        <sz val="8"/>
      </font>
    </dxf>
    <dxf>
      <font>
        <sz val="8"/>
      </font>
    </dxf>
    <dxf>
      <numFmt numFmtId="1" formatCode="0"/>
    </dxf>
    <dxf>
      <alignment horizontal="center"/>
    </dxf>
    <dxf>
      <alignment horizontal="center"/>
    </dxf>
    <dxf>
      <font>
        <sz val="8"/>
      </font>
    </dxf>
    <dxf>
      <font>
        <sz val="8"/>
      </font>
    </dxf>
    <dxf>
      <font>
        <sz val="8"/>
      </font>
    </dxf>
    <dxf>
      <font>
        <sz val="8"/>
      </font>
    </dxf>
    <dxf>
      <font>
        <sz val="8"/>
      </font>
    </dxf>
    <dxf>
      <font>
        <sz val="8"/>
      </font>
    </dxf>
    <dxf>
      <font>
        <sz val="8"/>
      </font>
    </dxf>
    <dxf>
      <font>
        <sz val="8"/>
      </font>
    </dxf>
    <dxf>
      <font>
        <sz val="8"/>
      </font>
    </dxf>
    <dxf>
      <numFmt numFmtId="1" formatCode="0"/>
    </dxf>
    <dxf>
      <alignment horizontal="center"/>
    </dxf>
    <dxf>
      <alignment horizontal="center"/>
    </dxf>
    <dxf>
      <font>
        <sz val="8"/>
      </font>
    </dxf>
    <dxf>
      <font>
        <sz val="8"/>
      </font>
    </dxf>
    <dxf>
      <font>
        <sz val="8"/>
      </font>
    </dxf>
    <dxf>
      <font>
        <sz val="8"/>
      </font>
    </dxf>
    <dxf>
      <font>
        <sz val="8"/>
      </font>
    </dxf>
    <dxf>
      <font>
        <sz val="8"/>
      </font>
    </dxf>
    <dxf>
      <numFmt numFmtId="1" formatCode="0"/>
    </dxf>
    <dxf>
      <alignment horizontal="center"/>
    </dxf>
    <dxf>
      <alignment horizontal="center"/>
    </dxf>
    <dxf>
      <font>
        <sz val="8"/>
      </font>
    </dxf>
    <dxf>
      <font>
        <sz val="8"/>
      </font>
    </dxf>
    <dxf>
      <font>
        <sz val="8"/>
      </font>
    </dxf>
    <dxf>
      <font>
        <sz val="8"/>
      </font>
    </dxf>
    <dxf>
      <font>
        <sz val="8"/>
      </font>
    </dxf>
    <dxf>
      <font>
        <sz val="8"/>
      </font>
    </dxf>
    <dxf>
      <numFmt numFmtId="1" formatCode="0"/>
    </dxf>
    <dxf>
      <alignment horizontal="center"/>
    </dxf>
    <dxf>
      <alignment horizontal="center"/>
    </dxf>
    <dxf>
      <font>
        <sz val="8"/>
      </font>
    </dxf>
    <dxf>
      <font>
        <sz val="8"/>
      </font>
    </dxf>
    <dxf>
      <font>
        <sz val="8"/>
      </font>
    </dxf>
    <dxf>
      <font>
        <sz val="8"/>
      </font>
    </dxf>
    <dxf>
      <font>
        <sz val="8"/>
      </font>
    </dxf>
    <dxf>
      <font>
        <sz val="8"/>
      </font>
    </dxf>
    <dxf>
      <font>
        <sz val="8"/>
      </font>
    </dxf>
    <dxf>
      <font>
        <sz val="8"/>
      </font>
    </dxf>
    <dxf>
      <font>
        <sz val="8"/>
      </font>
    </dxf>
    <dxf>
      <numFmt numFmtId="1" formatCode="0"/>
    </dxf>
    <dxf>
      <alignment horizontal="center"/>
    </dxf>
    <dxf>
      <alignment horizontal="center"/>
    </dxf>
    <dxf>
      <font>
        <sz val="8"/>
      </font>
    </dxf>
    <dxf>
      <font>
        <sz val="8"/>
      </font>
    </dxf>
    <dxf>
      <numFmt numFmtId="164" formatCode="0.0"/>
    </dxf>
    <dxf>
      <alignment horizontal="center"/>
    </dxf>
    <dxf>
      <alignment horizontal="center"/>
    </dxf>
    <dxf>
      <font>
        <sz val="8"/>
      </font>
    </dxf>
    <dxf>
      <font>
        <sz val="8"/>
      </font>
    </dxf>
    <dxf>
      <font>
        <sz val="8"/>
      </font>
    </dxf>
    <dxf>
      <font>
        <sz val="8"/>
      </font>
    </dxf>
    <dxf>
      <font>
        <sz val="8"/>
      </font>
    </dxf>
    <dxf>
      <font>
        <sz val="8"/>
      </font>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numFmt numFmtId="164" formatCode="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numFmt numFmtId="164" formatCode="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family val="2"/>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1"/>
        <name val="Calibri"/>
        <family val="2"/>
        <scheme val="minor"/>
      </font>
      <fill>
        <patternFill patternType="solid">
          <fgColor indexed="64"/>
          <bgColor theme="5" tint="-0.49998474074526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color theme="1"/>
      </font>
      <border>
        <bottom style="thin">
          <color theme="4"/>
        </bottom>
        <vertical/>
        <horizontal/>
      </border>
    </dxf>
    <dxf>
      <font>
        <b/>
        <i val="0"/>
        <sz val="10"/>
        <color theme="1"/>
        <name val="Calibri"/>
        <family val="2"/>
        <scheme val="minor"/>
      </font>
      <border diagonalUp="0" diagonalDown="0">
        <left/>
        <right/>
        <top/>
        <bottom/>
        <vertical/>
        <horizontal/>
      </border>
    </dxf>
    <dxf>
      <font>
        <b/>
        <i val="0"/>
        <sz val="10"/>
        <color theme="1"/>
        <name val="Calibri"/>
        <family val="2"/>
        <scheme val="minor"/>
      </font>
      <border>
        <bottom style="thin">
          <color theme="4"/>
        </bottom>
        <vertical/>
        <horizontal/>
      </border>
    </dxf>
    <dxf>
      <font>
        <b val="0"/>
        <i val="0"/>
        <sz val="10"/>
        <color theme="1"/>
        <name val="Calibri"/>
        <family val="2"/>
        <scheme val="minor"/>
      </font>
      <border diagonalUp="0" diagonalDown="0">
        <left/>
        <right/>
        <top/>
        <bottom/>
        <vertical/>
        <horizontal/>
      </border>
    </dxf>
  </dxfs>
  <tableStyles count="2" defaultTableStyle="TableStyleMedium2" defaultPivotStyle="PivotStyleLight16">
    <tableStyle name="My Own 2" pivot="0" table="0" count="10" xr9:uid="{D5F3F286-C474-44E9-95FB-694DE5362F84}">
      <tableStyleElement type="wholeTable" dxfId="130"/>
      <tableStyleElement type="headerRow" dxfId="129"/>
    </tableStyle>
    <tableStyle name="SlicerStyleLight1 2" pivot="0" table="0" count="10" xr9:uid="{1F16CDED-FAF5-422B-97BE-1E7D247E98DF}">
      <tableStyleElement type="wholeTable" dxfId="128"/>
      <tableStyleElement type="headerRow" dxfId="127"/>
    </tableStyle>
  </tableStyles>
  <colors>
    <mruColors>
      <color rgb="FF06202B"/>
      <color rgb="FF077A7D"/>
      <color rgb="FF7AE2CF"/>
      <color rgb="FF6E1A37"/>
      <color rgb="FF541A1A"/>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0"/>
            <color rgb="FF000000"/>
            <name val="Calibri"/>
            <family val="2"/>
            <scheme val="minor"/>
          </font>
          <fill>
            <patternFill patternType="solid">
              <fgColor theme="4"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b val="0"/>
            <i val="0"/>
            <sz val="10"/>
            <color rgb="FF828282"/>
            <name val="Calibri"/>
            <family val="2"/>
            <scheme val="minor"/>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0"/>
            <color rgb="FF000000"/>
            <name val="Calibri"/>
            <family val="2"/>
            <scheme val="minor"/>
          </font>
          <fill>
            <patternFill patternType="solid">
              <fgColor rgb="FFFFFFFF"/>
              <bgColor rgb="FFFFFFFF"/>
            </patternFill>
          </fill>
          <border diagonalUp="0" diagonalDown="0">
            <left/>
            <right/>
            <top/>
            <bottom/>
            <vertical/>
            <horizontal/>
          </border>
        </dxf>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rgb="FF000000"/>
            <name val="Calibri"/>
            <family val="2"/>
            <scheme val="minor"/>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10"/>
            <color auto="1"/>
            <name val="Calibri"/>
            <family val="2"/>
            <scheme val="minor"/>
          </font>
          <fill>
            <patternFill patternType="solid">
              <fgColor theme="4" tint="0.79995117038483843"/>
              <bgColor rgb="FF077A7D"/>
            </patternFill>
          </fill>
          <border>
            <left style="thin">
              <color rgb="FFCCCCCC"/>
            </left>
            <right style="thin">
              <color rgb="FFCCCCCC"/>
            </right>
            <top style="thin">
              <color rgb="FFCCCCCC"/>
            </top>
            <bottom style="thin">
              <color rgb="FFCCCCCC"/>
            </bottom>
            <vertical/>
            <horizontal/>
          </border>
        </dxf>
        <dxf>
          <font>
            <b val="0"/>
            <i val="0"/>
            <sz val="10"/>
            <color theme="0"/>
            <name val="Calibri"/>
            <family val="2"/>
            <scheme val="minor"/>
          </font>
          <fill>
            <patternFill patternType="solid">
              <fgColor theme="4" tint="0.59999389629810485"/>
              <bgColor rgb="FF077A7D"/>
            </patternFill>
          </fill>
          <border>
            <left style="thin">
              <color rgb="FF999999"/>
            </left>
            <right style="thin">
              <color rgb="FF999999"/>
            </right>
            <top style="thin">
              <color rgb="FF999999"/>
            </top>
            <bottom style="thin">
              <color rgb="FF999999"/>
            </bottom>
            <vertical/>
            <horizontal/>
          </border>
        </dxf>
        <dxf>
          <font>
            <b val="0"/>
            <i val="0"/>
            <sz val="10"/>
            <color rgb="FF828282"/>
            <name val="Calibri"/>
            <family val="2"/>
            <scheme val="minor"/>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sz val="10"/>
            <color rgb="FF000000"/>
            <name val="Calibri"/>
            <family val="2"/>
            <scheme val="minor"/>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 Own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[Boanerjes_Wann_finished_report_meghalaya_constituency_data.xlsm]Section 2_Q1 Analysis!PivotTable1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'Section 2_Q1 Analysis'!$B$3</c:f>
              <c:strCache>
                <c:ptCount val="1"/>
                <c:pt idx="0">
                  <c:v>Average of JJM_Functional_Tap_Connections_Pct</c:v>
                </c:pt>
              </c:strCache>
            </c:strRef>
          </c:tx>
          <c:spPr>
            <a:solidFill>
              <a:schemeClr val="accent1"/>
            </a:solidFill>
            <a:ln>
              <a:noFill/>
            </a:ln>
            <a:effectLst/>
          </c:spPr>
          <c:invertIfNegative val="0"/>
          <c:cat>
            <c:strRef>
              <c:f>'Section 2_Q1 Analysis'!$A$4:$A$8</c:f>
              <c:strCache>
                <c:ptCount val="4"/>
                <c:pt idx="0">
                  <c:v>Garo Hills</c:v>
                </c:pt>
                <c:pt idx="1">
                  <c:v>Jaintia Hills</c:v>
                </c:pt>
                <c:pt idx="2">
                  <c:v>Khasi Hills</c:v>
                </c:pt>
                <c:pt idx="3">
                  <c:v>Ri Bhoi</c:v>
                </c:pt>
              </c:strCache>
            </c:strRef>
          </c:cat>
          <c:val>
            <c:numRef>
              <c:f>'Section 2_Q1 Analysis'!$B$4:$B$8</c:f>
              <c:numCache>
                <c:formatCode>0.0</c:formatCode>
                <c:ptCount val="4"/>
                <c:pt idx="0">
                  <c:v>43.357142857142861</c:v>
                </c:pt>
                <c:pt idx="1">
                  <c:v>46.863636363636367</c:v>
                </c:pt>
                <c:pt idx="2">
                  <c:v>62.18636363636363</c:v>
                </c:pt>
                <c:pt idx="3">
                  <c:v>57.779999999999994</c:v>
                </c:pt>
              </c:numCache>
            </c:numRef>
          </c:val>
          <c:extLst>
            <c:ext xmlns:c16="http://schemas.microsoft.com/office/drawing/2014/chart" uri="{C3380CC4-5D6E-409C-BE32-E72D297353CC}">
              <c16:uniqueId val="{00000000-2A58-439D-B2E9-B006EB8DB775}"/>
            </c:ext>
          </c:extLst>
        </c:ser>
        <c:ser>
          <c:idx val="1"/>
          <c:order val="1"/>
          <c:tx>
            <c:strRef>
              <c:f>'Section 2_Q1 Analysis'!$C$3</c:f>
              <c:strCache>
                <c:ptCount val="1"/>
                <c:pt idx="0">
                  <c:v>Average of Pucca_Road_Pct</c:v>
                </c:pt>
              </c:strCache>
            </c:strRef>
          </c:tx>
          <c:spPr>
            <a:solidFill>
              <a:schemeClr val="accent2"/>
            </a:solidFill>
            <a:ln>
              <a:noFill/>
            </a:ln>
            <a:effectLst/>
          </c:spPr>
          <c:invertIfNegative val="0"/>
          <c:cat>
            <c:strRef>
              <c:f>'Section 2_Q1 Analysis'!$A$4:$A$8</c:f>
              <c:strCache>
                <c:ptCount val="4"/>
                <c:pt idx="0">
                  <c:v>Garo Hills</c:v>
                </c:pt>
                <c:pt idx="1">
                  <c:v>Jaintia Hills</c:v>
                </c:pt>
                <c:pt idx="2">
                  <c:v>Khasi Hills</c:v>
                </c:pt>
                <c:pt idx="3">
                  <c:v>Ri Bhoi</c:v>
                </c:pt>
              </c:strCache>
            </c:strRef>
          </c:cat>
          <c:val>
            <c:numRef>
              <c:f>'Section 2_Q1 Analysis'!$C$4:$C$8</c:f>
              <c:numCache>
                <c:formatCode>0.0</c:formatCode>
                <c:ptCount val="4"/>
                <c:pt idx="0">
                  <c:v>56.195238095238089</c:v>
                </c:pt>
                <c:pt idx="1">
                  <c:v>49.927272727272729</c:v>
                </c:pt>
                <c:pt idx="2">
                  <c:v>61.277272727272731</c:v>
                </c:pt>
                <c:pt idx="3">
                  <c:v>66.960000000000008</c:v>
                </c:pt>
              </c:numCache>
            </c:numRef>
          </c:val>
          <c:extLst>
            <c:ext xmlns:c16="http://schemas.microsoft.com/office/drawing/2014/chart" uri="{C3380CC4-5D6E-409C-BE32-E72D297353CC}">
              <c16:uniqueId val="{00000001-2A58-439D-B2E9-B006EB8DB775}"/>
            </c:ext>
          </c:extLst>
        </c:ser>
        <c:ser>
          <c:idx val="2"/>
          <c:order val="2"/>
          <c:tx>
            <c:strRef>
              <c:f>'Section 2_Q1 Analysis'!$D$3</c:f>
              <c:strCache>
                <c:ptCount val="1"/>
                <c:pt idx="0">
                  <c:v>Average of Literacy_Rate_Pct</c:v>
                </c:pt>
              </c:strCache>
            </c:strRef>
          </c:tx>
          <c:spPr>
            <a:solidFill>
              <a:schemeClr val="accent3"/>
            </a:solidFill>
            <a:ln>
              <a:noFill/>
            </a:ln>
            <a:effectLst/>
          </c:spPr>
          <c:invertIfNegative val="0"/>
          <c:cat>
            <c:strRef>
              <c:f>'Section 2_Q1 Analysis'!$A$4:$A$8</c:f>
              <c:strCache>
                <c:ptCount val="4"/>
                <c:pt idx="0">
                  <c:v>Garo Hills</c:v>
                </c:pt>
                <c:pt idx="1">
                  <c:v>Jaintia Hills</c:v>
                </c:pt>
                <c:pt idx="2">
                  <c:v>Khasi Hills</c:v>
                </c:pt>
                <c:pt idx="3">
                  <c:v>Ri Bhoi</c:v>
                </c:pt>
              </c:strCache>
            </c:strRef>
          </c:cat>
          <c:val>
            <c:numRef>
              <c:f>'Section 2_Q1 Analysis'!$D$4:$D$8</c:f>
              <c:numCache>
                <c:formatCode>0.0</c:formatCode>
                <c:ptCount val="4"/>
                <c:pt idx="0">
                  <c:v>74.028571428571439</c:v>
                </c:pt>
                <c:pt idx="1">
                  <c:v>73.13636363636364</c:v>
                </c:pt>
                <c:pt idx="2">
                  <c:v>78.445454545454538</c:v>
                </c:pt>
                <c:pt idx="3">
                  <c:v>72.61999999999999</c:v>
                </c:pt>
              </c:numCache>
            </c:numRef>
          </c:val>
          <c:extLst>
            <c:ext xmlns:c16="http://schemas.microsoft.com/office/drawing/2014/chart" uri="{C3380CC4-5D6E-409C-BE32-E72D297353CC}">
              <c16:uniqueId val="{00000002-2A58-439D-B2E9-B006EB8DB775}"/>
            </c:ext>
          </c:extLst>
        </c:ser>
        <c:dLbls>
          <c:showLegendKey val="0"/>
          <c:showVal val="0"/>
          <c:showCatName val="0"/>
          <c:showSerName val="0"/>
          <c:showPercent val="0"/>
          <c:showBubbleSize val="0"/>
        </c:dLbls>
        <c:gapWidth val="219"/>
        <c:overlap val="-27"/>
        <c:axId val="647933976"/>
        <c:axId val="647934696"/>
      </c:barChart>
      <c:catAx>
        <c:axId val="647933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934696"/>
        <c:crosses val="autoZero"/>
        <c:auto val="1"/>
        <c:lblAlgn val="ctr"/>
        <c:lblOffset val="100"/>
        <c:noMultiLvlLbl val="0"/>
      </c:catAx>
      <c:valAx>
        <c:axId val="647934696"/>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933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0" i="0">
                <a:effectLst/>
              </a:rPr>
              <a:t>Regional Comparison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BPL_Households_Pct </c:v>
          </c:tx>
          <c:spPr>
            <a:solidFill>
              <a:schemeClr val="accent1"/>
            </a:solidFill>
            <a:ln>
              <a:noFill/>
            </a:ln>
            <a:effectLst/>
          </c:spPr>
          <c:invertIfNegative val="0"/>
          <c:cat>
            <c:strLit>
              <c:ptCount val="4"/>
              <c:pt idx="0">
                <c:v>Garo Hills</c:v>
              </c:pt>
              <c:pt idx="1">
                <c:v>Jaintia Hills</c:v>
              </c:pt>
              <c:pt idx="2">
                <c:v>Khasi Hills</c:v>
              </c:pt>
              <c:pt idx="3">
                <c:v>Ri Bhoi</c:v>
              </c:pt>
            </c:strLit>
          </c:cat>
          <c:val>
            <c:numLit>
              <c:formatCode>General</c:formatCode>
              <c:ptCount val="4"/>
              <c:pt idx="0">
                <c:v>38.319047619047616</c:v>
              </c:pt>
              <c:pt idx="1">
                <c:v>42.063636363636363</c:v>
              </c:pt>
              <c:pt idx="2">
                <c:v>35.959090909090918</c:v>
              </c:pt>
              <c:pt idx="3">
                <c:v>44.519999999999996</c:v>
              </c:pt>
            </c:numLit>
          </c:val>
          <c:extLst>
            <c:ext xmlns:c16="http://schemas.microsoft.com/office/drawing/2014/chart" uri="{C3380CC4-5D6E-409C-BE32-E72D297353CC}">
              <c16:uniqueId val="{00000000-D5FD-4CB5-9A1D-7E4547CC3B34}"/>
            </c:ext>
          </c:extLst>
        </c:ser>
        <c:ser>
          <c:idx val="1"/>
          <c:order val="1"/>
          <c:tx>
            <c:v>JJM_Functional_Tap_Connections_Pct </c:v>
          </c:tx>
          <c:spPr>
            <a:solidFill>
              <a:schemeClr val="accent2"/>
            </a:solidFill>
            <a:ln>
              <a:noFill/>
            </a:ln>
            <a:effectLst/>
          </c:spPr>
          <c:invertIfNegative val="0"/>
          <c:cat>
            <c:strLit>
              <c:ptCount val="4"/>
              <c:pt idx="0">
                <c:v>Garo Hills</c:v>
              </c:pt>
              <c:pt idx="1">
                <c:v>Jaintia Hills</c:v>
              </c:pt>
              <c:pt idx="2">
                <c:v>Khasi Hills</c:v>
              </c:pt>
              <c:pt idx="3">
                <c:v>Ri Bhoi</c:v>
              </c:pt>
            </c:strLit>
          </c:cat>
          <c:val>
            <c:numLit>
              <c:formatCode>General</c:formatCode>
              <c:ptCount val="4"/>
              <c:pt idx="0">
                <c:v>43.357142857142861</c:v>
              </c:pt>
              <c:pt idx="1">
                <c:v>46.863636363636367</c:v>
              </c:pt>
              <c:pt idx="2">
                <c:v>62.18636363636363</c:v>
              </c:pt>
              <c:pt idx="3">
                <c:v>57.779999999999994</c:v>
              </c:pt>
            </c:numLit>
          </c:val>
          <c:extLst>
            <c:ext xmlns:c16="http://schemas.microsoft.com/office/drawing/2014/chart" uri="{C3380CC4-5D6E-409C-BE32-E72D297353CC}">
              <c16:uniqueId val="{00000001-D5FD-4CB5-9A1D-7E4547CC3B34}"/>
            </c:ext>
          </c:extLst>
        </c:ser>
        <c:ser>
          <c:idx val="2"/>
          <c:order val="2"/>
          <c:tx>
            <c:v>Pucca_Road_Pct </c:v>
          </c:tx>
          <c:spPr>
            <a:solidFill>
              <a:schemeClr val="accent3"/>
            </a:solidFill>
            <a:ln>
              <a:noFill/>
            </a:ln>
            <a:effectLst/>
          </c:spPr>
          <c:invertIfNegative val="0"/>
          <c:cat>
            <c:strLit>
              <c:ptCount val="4"/>
              <c:pt idx="0">
                <c:v>Garo Hills</c:v>
              </c:pt>
              <c:pt idx="1">
                <c:v>Jaintia Hills</c:v>
              </c:pt>
              <c:pt idx="2">
                <c:v>Khasi Hills</c:v>
              </c:pt>
              <c:pt idx="3">
                <c:v>Ri Bhoi</c:v>
              </c:pt>
            </c:strLit>
          </c:cat>
          <c:val>
            <c:numLit>
              <c:formatCode>General</c:formatCode>
              <c:ptCount val="4"/>
              <c:pt idx="0">
                <c:v>56.195238095238089</c:v>
              </c:pt>
              <c:pt idx="1">
                <c:v>49.927272727272729</c:v>
              </c:pt>
              <c:pt idx="2">
                <c:v>61.277272727272731</c:v>
              </c:pt>
              <c:pt idx="3">
                <c:v>66.960000000000008</c:v>
              </c:pt>
            </c:numLit>
          </c:val>
          <c:extLst>
            <c:ext xmlns:c16="http://schemas.microsoft.com/office/drawing/2014/chart" uri="{C3380CC4-5D6E-409C-BE32-E72D297353CC}">
              <c16:uniqueId val="{00000002-D5FD-4CB5-9A1D-7E4547CC3B34}"/>
            </c:ext>
          </c:extLst>
        </c:ser>
        <c:ser>
          <c:idx val="3"/>
          <c:order val="3"/>
          <c:tx>
            <c:v>Literacy_Rate_Pct </c:v>
          </c:tx>
          <c:spPr>
            <a:solidFill>
              <a:schemeClr val="accent4"/>
            </a:solidFill>
            <a:ln>
              <a:noFill/>
            </a:ln>
            <a:effectLst/>
          </c:spPr>
          <c:invertIfNegative val="0"/>
          <c:cat>
            <c:strLit>
              <c:ptCount val="4"/>
              <c:pt idx="0">
                <c:v>Garo Hills</c:v>
              </c:pt>
              <c:pt idx="1">
                <c:v>Jaintia Hills</c:v>
              </c:pt>
              <c:pt idx="2">
                <c:v>Khasi Hills</c:v>
              </c:pt>
              <c:pt idx="3">
                <c:v>Ri Bhoi</c:v>
              </c:pt>
            </c:strLit>
          </c:cat>
          <c:val>
            <c:numLit>
              <c:formatCode>General</c:formatCode>
              <c:ptCount val="4"/>
              <c:pt idx="0">
                <c:v>74.028571428571439</c:v>
              </c:pt>
              <c:pt idx="1">
                <c:v>73.13636363636364</c:v>
              </c:pt>
              <c:pt idx="2">
                <c:v>78.445454545454538</c:v>
              </c:pt>
              <c:pt idx="3">
                <c:v>72.61999999999999</c:v>
              </c:pt>
            </c:numLit>
          </c:val>
          <c:extLst>
            <c:ext xmlns:c16="http://schemas.microsoft.com/office/drawing/2014/chart" uri="{C3380CC4-5D6E-409C-BE32-E72D297353CC}">
              <c16:uniqueId val="{00000003-D5FD-4CB5-9A1D-7E4547CC3B34}"/>
            </c:ext>
          </c:extLst>
        </c:ser>
        <c:ser>
          <c:idx val="4"/>
          <c:order val="4"/>
          <c:tx>
            <c:v>4G_Coverage_Pct </c:v>
          </c:tx>
          <c:spPr>
            <a:solidFill>
              <a:schemeClr val="accent5"/>
            </a:solidFill>
            <a:ln>
              <a:noFill/>
            </a:ln>
            <a:effectLst/>
          </c:spPr>
          <c:invertIfNegative val="0"/>
          <c:cat>
            <c:strLit>
              <c:ptCount val="4"/>
              <c:pt idx="0">
                <c:v>Garo Hills</c:v>
              </c:pt>
              <c:pt idx="1">
                <c:v>Jaintia Hills</c:v>
              </c:pt>
              <c:pt idx="2">
                <c:v>Khasi Hills</c:v>
              </c:pt>
              <c:pt idx="3">
                <c:v>Ri Bhoi</c:v>
              </c:pt>
            </c:strLit>
          </c:cat>
          <c:val>
            <c:numLit>
              <c:formatCode>General</c:formatCode>
              <c:ptCount val="4"/>
              <c:pt idx="0">
                <c:v>47.67619047619047</c:v>
              </c:pt>
              <c:pt idx="1">
                <c:v>48.709090909090904</c:v>
              </c:pt>
              <c:pt idx="2">
                <c:v>59.81363636363637</c:v>
              </c:pt>
              <c:pt idx="3">
                <c:v>31.8</c:v>
              </c:pt>
            </c:numLit>
          </c:val>
          <c:extLst>
            <c:ext xmlns:c16="http://schemas.microsoft.com/office/drawing/2014/chart" uri="{C3380CC4-5D6E-409C-BE32-E72D297353CC}">
              <c16:uniqueId val="{00000004-D5FD-4CB5-9A1D-7E4547CC3B34}"/>
            </c:ext>
          </c:extLst>
        </c:ser>
        <c:ser>
          <c:idx val="5"/>
          <c:order val="5"/>
          <c:tx>
            <c:v>Constituency_Fund_Utilized_Pct </c:v>
          </c:tx>
          <c:spPr>
            <a:solidFill>
              <a:schemeClr val="accent6"/>
            </a:solidFill>
            <a:ln>
              <a:noFill/>
            </a:ln>
            <a:effectLst/>
          </c:spPr>
          <c:invertIfNegative val="0"/>
          <c:cat>
            <c:strLit>
              <c:ptCount val="4"/>
              <c:pt idx="0">
                <c:v>Garo Hills</c:v>
              </c:pt>
              <c:pt idx="1">
                <c:v>Jaintia Hills</c:v>
              </c:pt>
              <c:pt idx="2">
                <c:v>Khasi Hills</c:v>
              </c:pt>
              <c:pt idx="3">
                <c:v>Ri Bhoi</c:v>
              </c:pt>
            </c:strLit>
          </c:cat>
          <c:val>
            <c:numLit>
              <c:formatCode>General</c:formatCode>
              <c:ptCount val="4"/>
              <c:pt idx="0">
                <c:v>66.595238095238102</c:v>
              </c:pt>
              <c:pt idx="1">
                <c:v>61.918181818181822</c:v>
              </c:pt>
              <c:pt idx="2">
                <c:v>74.695454545454538</c:v>
              </c:pt>
              <c:pt idx="3">
                <c:v>66.02</c:v>
              </c:pt>
            </c:numLit>
          </c:val>
          <c:extLst>
            <c:ext xmlns:c16="http://schemas.microsoft.com/office/drawing/2014/chart" uri="{C3380CC4-5D6E-409C-BE32-E72D297353CC}">
              <c16:uniqueId val="{00000005-D5FD-4CB5-9A1D-7E4547CC3B34}"/>
            </c:ext>
          </c:extLst>
        </c:ser>
        <c:dLbls>
          <c:showLegendKey val="0"/>
          <c:showVal val="0"/>
          <c:showCatName val="0"/>
          <c:showSerName val="0"/>
          <c:showPercent val="0"/>
          <c:showBubbleSize val="0"/>
        </c:dLbls>
        <c:gapWidth val="219"/>
        <c:overlap val="-27"/>
        <c:axId val="578951952"/>
        <c:axId val="574686024"/>
      </c:barChart>
      <c:catAx>
        <c:axId val="578951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686024"/>
        <c:crosses val="autoZero"/>
        <c:auto val="1"/>
        <c:lblAlgn val="ctr"/>
        <c:lblOffset val="100"/>
        <c:noMultiLvlLbl val="0"/>
      </c:catAx>
      <c:valAx>
        <c:axId val="57468602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895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0" i="0">
                <a:effectLst/>
              </a:rPr>
              <a:t>Poverty vs water access relationship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'S2-Q2'!$D$3</c:f>
              <c:strCache>
                <c:ptCount val="1"/>
                <c:pt idx="0">
                  <c:v>JJM_Functional_Tap_Connections_Pct</c:v>
                </c:pt>
              </c:strCache>
            </c:strRef>
          </c:tx>
          <c:spPr>
            <a:ln w="19050" cap="rnd">
              <a:noFill/>
              <a:round/>
            </a:ln>
            <a:effectLst/>
          </c:spPr>
          <c:marker>
            <c:symbol val="circle"/>
            <c:size val="5"/>
            <c:spPr>
              <a:solidFill>
                <a:schemeClr val="accent1"/>
              </a:solidFill>
              <a:ln w="9525">
                <a:solidFill>
                  <a:schemeClr val="accent1"/>
                </a:solidFill>
              </a:ln>
              <a:effectLst/>
            </c:spPr>
          </c:marker>
          <c:xVal>
            <c:multiLvlStrRef>
              <c:f>'S2-Q2'!$A$4:$C$8</c:f>
              <c:multiLvlStrCache>
                <c:ptCount val="5"/>
                <c:lvl>
                  <c:pt idx="0">
                    <c:v>Garo Hills</c:v>
                  </c:pt>
                  <c:pt idx="1">
                    <c:v>Jaintia Hills</c:v>
                  </c:pt>
                  <c:pt idx="2">
                    <c:v>Garo Hills</c:v>
                  </c:pt>
                  <c:pt idx="3">
                    <c:v>Khasi Hills</c:v>
                  </c:pt>
                  <c:pt idx="4">
                    <c:v>Jaintia Hills</c:v>
                  </c:pt>
                </c:lvl>
                <c:lvl>
                  <c:pt idx="0">
                    <c:v>North Garo Hills</c:v>
                  </c:pt>
                  <c:pt idx="1">
                    <c:v>East Jaintia Hills</c:v>
                  </c:pt>
                  <c:pt idx="2">
                    <c:v>North Garo Hills</c:v>
                  </c:pt>
                  <c:pt idx="3">
                    <c:v>East Khasi Hills</c:v>
                  </c:pt>
                  <c:pt idx="4">
                    <c:v>East Jaintia Hills</c:v>
                  </c:pt>
                </c:lvl>
                <c:lvl>
                  <c:pt idx="0">
                    <c:v>Resubelpara</c:v>
                  </c:pt>
                  <c:pt idx="1">
                    <c:v>Khliehriat</c:v>
                  </c:pt>
                  <c:pt idx="2">
                    <c:v>Kharkutta</c:v>
                  </c:pt>
                  <c:pt idx="3">
                    <c:v>Sohiong</c:v>
                  </c:pt>
                  <c:pt idx="4">
                    <c:v>Mawhati</c:v>
                  </c:pt>
                </c:lvl>
              </c:multiLvlStrCache>
            </c:multiLvlStrRef>
          </c:xVal>
          <c:yVal>
            <c:numRef>
              <c:f>'S2-Q2'!$D$4:$D$8</c:f>
              <c:numCache>
                <c:formatCode>General</c:formatCode>
                <c:ptCount val="5"/>
                <c:pt idx="0">
                  <c:v>23.4</c:v>
                </c:pt>
                <c:pt idx="1">
                  <c:v>24.1</c:v>
                </c:pt>
                <c:pt idx="2">
                  <c:v>24.1</c:v>
                </c:pt>
                <c:pt idx="3">
                  <c:v>26.6</c:v>
                </c:pt>
                <c:pt idx="4">
                  <c:v>26.7</c:v>
                </c:pt>
              </c:numCache>
            </c:numRef>
          </c:yVal>
          <c:smooth val="0"/>
          <c:extLst>
            <c:ext xmlns:c16="http://schemas.microsoft.com/office/drawing/2014/chart" uri="{C3380CC4-5D6E-409C-BE32-E72D297353CC}">
              <c16:uniqueId val="{00000000-E8C1-49F1-9141-AA0BA212E5B0}"/>
            </c:ext>
          </c:extLst>
        </c:ser>
        <c:ser>
          <c:idx val="1"/>
          <c:order val="1"/>
          <c:tx>
            <c:strRef>
              <c:f>'S2-Q2'!$E$3</c:f>
              <c:strCache>
                <c:ptCount val="1"/>
                <c:pt idx="0">
                  <c:v>BPL_Households_Pct</c:v>
                </c:pt>
              </c:strCache>
            </c:strRef>
          </c:tx>
          <c:spPr>
            <a:ln w="19050" cap="rnd">
              <a:noFill/>
              <a:round/>
            </a:ln>
            <a:effectLst/>
          </c:spPr>
          <c:marker>
            <c:symbol val="circle"/>
            <c:size val="5"/>
            <c:spPr>
              <a:solidFill>
                <a:schemeClr val="accent2"/>
              </a:solidFill>
              <a:ln w="9525">
                <a:solidFill>
                  <a:schemeClr val="accent2"/>
                </a:solidFill>
              </a:ln>
              <a:effectLst/>
            </c:spPr>
          </c:marker>
          <c:xVal>
            <c:multiLvlStrRef>
              <c:f>'S2-Q2'!$A$4:$C$8</c:f>
              <c:multiLvlStrCache>
                <c:ptCount val="5"/>
                <c:lvl>
                  <c:pt idx="0">
                    <c:v>Garo Hills</c:v>
                  </c:pt>
                  <c:pt idx="1">
                    <c:v>Jaintia Hills</c:v>
                  </c:pt>
                  <c:pt idx="2">
                    <c:v>Garo Hills</c:v>
                  </c:pt>
                  <c:pt idx="3">
                    <c:v>Khasi Hills</c:v>
                  </c:pt>
                  <c:pt idx="4">
                    <c:v>Jaintia Hills</c:v>
                  </c:pt>
                </c:lvl>
                <c:lvl>
                  <c:pt idx="0">
                    <c:v>North Garo Hills</c:v>
                  </c:pt>
                  <c:pt idx="1">
                    <c:v>East Jaintia Hills</c:v>
                  </c:pt>
                  <c:pt idx="2">
                    <c:v>North Garo Hills</c:v>
                  </c:pt>
                  <c:pt idx="3">
                    <c:v>East Khasi Hills</c:v>
                  </c:pt>
                  <c:pt idx="4">
                    <c:v>East Jaintia Hills</c:v>
                  </c:pt>
                </c:lvl>
                <c:lvl>
                  <c:pt idx="0">
                    <c:v>Resubelpara</c:v>
                  </c:pt>
                  <c:pt idx="1">
                    <c:v>Khliehriat</c:v>
                  </c:pt>
                  <c:pt idx="2">
                    <c:v>Kharkutta</c:v>
                  </c:pt>
                  <c:pt idx="3">
                    <c:v>Sohiong</c:v>
                  </c:pt>
                  <c:pt idx="4">
                    <c:v>Mawhati</c:v>
                  </c:pt>
                </c:lvl>
              </c:multiLvlStrCache>
            </c:multiLvlStrRef>
          </c:xVal>
          <c:yVal>
            <c:numRef>
              <c:f>'S2-Q2'!$E$4:$E$8</c:f>
              <c:numCache>
                <c:formatCode>General</c:formatCode>
                <c:ptCount val="5"/>
                <c:pt idx="0">
                  <c:v>45.5</c:v>
                </c:pt>
                <c:pt idx="1">
                  <c:v>40.299999999999997</c:v>
                </c:pt>
                <c:pt idx="2">
                  <c:v>51.9</c:v>
                </c:pt>
                <c:pt idx="3">
                  <c:v>40.1</c:v>
                </c:pt>
                <c:pt idx="4">
                  <c:v>56.7</c:v>
                </c:pt>
              </c:numCache>
            </c:numRef>
          </c:yVal>
          <c:smooth val="0"/>
          <c:extLst>
            <c:ext xmlns:c16="http://schemas.microsoft.com/office/drawing/2014/chart" uri="{C3380CC4-5D6E-409C-BE32-E72D297353CC}">
              <c16:uniqueId val="{00000001-E8C1-49F1-9141-AA0BA212E5B0}"/>
            </c:ext>
          </c:extLst>
        </c:ser>
        <c:dLbls>
          <c:showLegendKey val="0"/>
          <c:showVal val="0"/>
          <c:showCatName val="0"/>
          <c:showSerName val="0"/>
          <c:showPercent val="0"/>
          <c:showBubbleSize val="0"/>
        </c:dLbls>
        <c:axId val="577828696"/>
        <c:axId val="577830496"/>
      </c:scatterChart>
      <c:valAx>
        <c:axId val="577828696"/>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830496"/>
        <c:crosses val="autoZero"/>
        <c:crossBetween val="midCat"/>
      </c:valAx>
      <c:valAx>
        <c:axId val="577830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8286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0" i="0">
                <a:effectLst/>
              </a:rPr>
              <a:t>Fund Utilisation vs BPL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#REF!</c:f>
            </c:numRef>
          </c:xVal>
          <c:yVal>
            <c:numRef>
              <c:f>#REF!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0-9FDD-4484-9ECA-52BFEED0945E}"/>
            </c:ext>
          </c:extLst>
        </c:ser>
        <c:ser>
          <c:idx val="1"/>
          <c:order val="1"/>
          <c:spPr>
            <a:ln w="19050" cap="rnd">
              <a:noFill/>
              <a:round/>
            </a:ln>
            <a:effectLst/>
          </c:spPr>
          <c:marker>
            <c:symbol val="circle"/>
            <c:size val="5"/>
            <c:spPr>
              <a:solidFill>
                <a:schemeClr val="accent2"/>
              </a:solidFill>
              <a:ln w="9525">
                <a:solidFill>
                  <a:schemeClr val="accent2"/>
                </a:solidFill>
              </a:ln>
              <a:effectLst/>
            </c:spPr>
          </c:marker>
          <c:xVal>
            <c:numRef>
              <c:f>#REF!</c:f>
            </c:numRef>
          </c:xVal>
          <c:yVal>
            <c:numRef>
              <c:f>#REF!</c:f>
              <c:numCache>
                <c:formatCode>General</c:formatCode>
                <c:ptCount val="1"/>
                <c:pt idx="0">
                  <c:v>1</c:v>
                </c:pt>
              </c:numCache>
            </c:numRef>
          </c:y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6="http://schemas.microsoft.com/office/drawing/2014/chart" uri="{C3380CC4-5D6E-409C-BE32-E72D297353CC}">
              <c16:uniqueId val="{00000001-9FDD-4484-9ECA-52BFEED0945E}"/>
            </c:ext>
          </c:extLst>
        </c:ser>
        <c:dLbls>
          <c:showLegendKey val="0"/>
          <c:showVal val="0"/>
          <c:showCatName val="0"/>
          <c:showSerName val="0"/>
          <c:showPercent val="0"/>
          <c:showBubbleSize val="0"/>
        </c:dLbls>
        <c:axId val="659799800"/>
        <c:axId val="659799440"/>
      </c:scatterChart>
      <c:valAx>
        <c:axId val="65979980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799440"/>
        <c:crosses val="autoZero"/>
        <c:crossBetween val="midCat"/>
      </c:valAx>
      <c:valAx>
        <c:axId val="659799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7998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IN" sz="900"/>
              <a:t>Fund Utilisation%</a:t>
            </a:r>
          </a:p>
        </c:rich>
      </c:tx>
      <c:layout>
        <c:manualLayout>
          <c:xMode val="edge"/>
          <c:yMode val="edge"/>
          <c:x val="0.34421522309711289"/>
          <c:y val="2.7777777777777776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1025371828521434E-2"/>
          <c:y val="4.6296296296296294E-2"/>
          <c:w val="0.90286351706036749"/>
          <c:h val="0.68910469524642748"/>
        </c:manualLayout>
      </c:layout>
      <c:barChart>
        <c:barDir val="col"/>
        <c:grouping val="clustered"/>
        <c:varyColors val="0"/>
        <c:ser>
          <c:idx val="0"/>
          <c:order val="0"/>
          <c:tx>
            <c:strRef>
              <c:f>Dashboard_Data!$B$30</c:f>
              <c:strCache>
                <c:ptCount val="1"/>
                <c:pt idx="0">
                  <c:v>Fund Utilisation%</c:v>
                </c:pt>
              </c:strCache>
            </c:strRef>
          </c:tx>
          <c:spPr>
            <a:solidFill>
              <a:srgbClr val="06202B"/>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Dashboard_Data!$A$31:$A$40</c:f>
              <c:strCache>
                <c:ptCount val="10"/>
                <c:pt idx="0">
                  <c:v>South West Garo Hills</c:v>
                </c:pt>
                <c:pt idx="1">
                  <c:v>East Garo Hills</c:v>
                </c:pt>
                <c:pt idx="2">
                  <c:v>West Jaintia Hills</c:v>
                </c:pt>
                <c:pt idx="3">
                  <c:v>East Jaintia Hills</c:v>
                </c:pt>
                <c:pt idx="4">
                  <c:v>Ri Bhoi</c:v>
                </c:pt>
                <c:pt idx="5">
                  <c:v>South Garo Hills</c:v>
                </c:pt>
                <c:pt idx="6">
                  <c:v>East Khasi Hills</c:v>
                </c:pt>
                <c:pt idx="7">
                  <c:v>North Garo Hills</c:v>
                </c:pt>
                <c:pt idx="8">
                  <c:v>West Garo Hills</c:v>
                </c:pt>
                <c:pt idx="9">
                  <c:v>West Khasi Hills</c:v>
                </c:pt>
              </c:strCache>
            </c:strRef>
          </c:cat>
          <c:val>
            <c:numRef>
              <c:f>Dashboard_Data!$B$31:$B$40</c:f>
              <c:numCache>
                <c:formatCode>0</c:formatCode>
                <c:ptCount val="10"/>
                <c:pt idx="0">
                  <c:v>53</c:v>
                </c:pt>
                <c:pt idx="1">
                  <c:v>58.875</c:v>
                </c:pt>
                <c:pt idx="2">
                  <c:v>61.316666666666663</c:v>
                </c:pt>
                <c:pt idx="3">
                  <c:v>62.640000000000008</c:v>
                </c:pt>
                <c:pt idx="4">
                  <c:v>66.02</c:v>
                </c:pt>
                <c:pt idx="5">
                  <c:v>69.433333333333337</c:v>
                </c:pt>
                <c:pt idx="6">
                  <c:v>72.123529411764707</c:v>
                </c:pt>
                <c:pt idx="7">
                  <c:v>72.175000000000011</c:v>
                </c:pt>
                <c:pt idx="8">
                  <c:v>72.428571428571431</c:v>
                </c:pt>
                <c:pt idx="9">
                  <c:v>83.44</c:v>
                </c:pt>
              </c:numCache>
            </c:numRef>
          </c:val>
          <c:extLst>
            <c:ext xmlns:c16="http://schemas.microsoft.com/office/drawing/2014/chart" uri="{C3380CC4-5D6E-409C-BE32-E72D297353CC}">
              <c16:uniqueId val="{00000000-69B2-4D4A-8E8C-F6E6212145FC}"/>
            </c:ext>
          </c:extLst>
        </c:ser>
        <c:ser>
          <c:idx val="1"/>
          <c:order val="1"/>
          <c:tx>
            <c:strRef>
              <c:f>Dashboard_Data!$C$30</c:f>
              <c:strCache>
                <c:ptCount val="1"/>
                <c:pt idx="0">
                  <c:v>Bottom 5</c:v>
                </c:pt>
              </c:strCache>
            </c:strRef>
          </c:tx>
          <c:spPr>
            <a:solidFill>
              <a:srgbClr val="077A7D"/>
            </a:solidFill>
            <a:ln>
              <a:noFill/>
            </a:ln>
            <a:effectLst/>
          </c:spPr>
          <c:invertIfNegative val="0"/>
          <c:val>
            <c:numRef>
              <c:f>Dashboard_Data!$C$31:$C$40</c:f>
              <c:numCache>
                <c:formatCode>0</c:formatCode>
                <c:ptCount val="10"/>
                <c:pt idx="0">
                  <c:v>53</c:v>
                </c:pt>
                <c:pt idx="1">
                  <c:v>58.875</c:v>
                </c:pt>
                <c:pt idx="2">
                  <c:v>61.316666666666663</c:v>
                </c:pt>
                <c:pt idx="3">
                  <c:v>62.640000000000008</c:v>
                </c:pt>
                <c:pt idx="4">
                  <c:v>66.02</c:v>
                </c:pt>
                <c:pt idx="5">
                  <c:v>0</c:v>
                </c:pt>
                <c:pt idx="6">
                  <c:v>0</c:v>
                </c:pt>
                <c:pt idx="7">
                  <c:v>0</c:v>
                </c:pt>
                <c:pt idx="8">
                  <c:v>0</c:v>
                </c:pt>
                <c:pt idx="9">
                  <c:v>0</c:v>
                </c:pt>
              </c:numCache>
            </c:numRef>
          </c:val>
          <c:extLst>
            <c:ext xmlns:c16="http://schemas.microsoft.com/office/drawing/2014/chart" uri="{C3380CC4-5D6E-409C-BE32-E72D297353CC}">
              <c16:uniqueId val="{00000001-69B2-4D4A-8E8C-F6E6212145FC}"/>
            </c:ext>
          </c:extLst>
        </c:ser>
        <c:dLbls>
          <c:showLegendKey val="0"/>
          <c:showVal val="0"/>
          <c:showCatName val="0"/>
          <c:showSerName val="0"/>
          <c:showPercent val="0"/>
          <c:showBubbleSize val="0"/>
        </c:dLbls>
        <c:gapWidth val="219"/>
        <c:overlap val="100"/>
        <c:axId val="463592616"/>
        <c:axId val="647936136"/>
      </c:barChart>
      <c:catAx>
        <c:axId val="463592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47936136"/>
        <c:crosses val="autoZero"/>
        <c:auto val="1"/>
        <c:lblAlgn val="ctr"/>
        <c:lblOffset val="100"/>
        <c:noMultiLvlLbl val="0"/>
      </c:catAx>
      <c:valAx>
        <c:axId val="647936136"/>
        <c:scaling>
          <c:orientation val="minMax"/>
          <c:min val="1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63592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358705161854772E-2"/>
          <c:y val="0.18097222222222226"/>
          <c:w val="0.90286351706036749"/>
          <c:h val="0.56831765820939051"/>
        </c:manualLayout>
      </c:layout>
      <c:barChart>
        <c:barDir val="col"/>
        <c:grouping val="clustered"/>
        <c:varyColors val="0"/>
        <c:ser>
          <c:idx val="0"/>
          <c:order val="0"/>
          <c:tx>
            <c:strRef>
              <c:f>Dashboard_Data!$B$61</c:f>
              <c:strCache>
                <c:ptCount val="1"/>
                <c:pt idx="0">
                  <c:v>BPL_Households_Pct </c:v>
                </c:pt>
              </c:strCache>
            </c:strRef>
          </c:tx>
          <c:spPr>
            <a:solidFill>
              <a:srgbClr val="06202B"/>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Dashboard_Data!$A$62:$A$71</c:f>
              <c:strCache>
                <c:ptCount val="10"/>
                <c:pt idx="0">
                  <c:v>East Garo Hills</c:v>
                </c:pt>
                <c:pt idx="1">
                  <c:v>East Jaintia Hills</c:v>
                </c:pt>
                <c:pt idx="2">
                  <c:v>East Khasi Hills</c:v>
                </c:pt>
                <c:pt idx="3">
                  <c:v>North Garo Hills</c:v>
                </c:pt>
                <c:pt idx="4">
                  <c:v>Ri Bhoi</c:v>
                </c:pt>
                <c:pt idx="5">
                  <c:v>South Garo Hills</c:v>
                </c:pt>
                <c:pt idx="6">
                  <c:v>South West Garo Hills</c:v>
                </c:pt>
                <c:pt idx="7">
                  <c:v>West Garo Hills</c:v>
                </c:pt>
                <c:pt idx="8">
                  <c:v>West Jaintia Hills</c:v>
                </c:pt>
                <c:pt idx="9">
                  <c:v>West Khasi Hills</c:v>
                </c:pt>
              </c:strCache>
            </c:strRef>
          </c:cat>
          <c:val>
            <c:numRef>
              <c:f>Dashboard_Data!$B$62:$B$71</c:f>
              <c:numCache>
                <c:formatCode>0</c:formatCode>
                <c:ptCount val="10"/>
                <c:pt idx="0">
                  <c:v>36.975000000000001</c:v>
                </c:pt>
                <c:pt idx="1">
                  <c:v>47.280000000000008</c:v>
                </c:pt>
                <c:pt idx="2">
                  <c:v>33.505882352941178</c:v>
                </c:pt>
                <c:pt idx="3">
                  <c:v>41.725000000000001</c:v>
                </c:pt>
                <c:pt idx="4">
                  <c:v>44.519999999999996</c:v>
                </c:pt>
                <c:pt idx="5">
                  <c:v>40.833333333333336</c:v>
                </c:pt>
                <c:pt idx="6">
                  <c:v>40.966666666666669</c:v>
                </c:pt>
                <c:pt idx="7">
                  <c:v>34.928571428571431</c:v>
                </c:pt>
                <c:pt idx="8">
                  <c:v>37.716666666666661</c:v>
                </c:pt>
                <c:pt idx="9">
                  <c:v>44.3</c:v>
                </c:pt>
              </c:numCache>
            </c:numRef>
          </c:val>
          <c:extLst>
            <c:ext xmlns:c16="http://schemas.microsoft.com/office/drawing/2014/chart" uri="{C3380CC4-5D6E-409C-BE32-E72D297353CC}">
              <c16:uniqueId val="{00000000-5C29-47F4-AA08-B5190F32ECB1}"/>
            </c:ext>
          </c:extLst>
        </c:ser>
        <c:ser>
          <c:idx val="1"/>
          <c:order val="1"/>
          <c:tx>
            <c:strRef>
              <c:f>Dashboard_Data!$C$61</c:f>
              <c:strCache>
                <c:ptCount val="1"/>
                <c:pt idx="0">
                  <c:v>Bottom 5</c:v>
                </c:pt>
              </c:strCache>
            </c:strRef>
          </c:tx>
          <c:spPr>
            <a:solidFill>
              <a:srgbClr val="077A7D"/>
            </a:solidFill>
            <a:ln>
              <a:noFill/>
            </a:ln>
            <a:effectLst/>
          </c:spPr>
          <c:invertIfNegative val="0"/>
          <c:val>
            <c:numRef>
              <c:f>Dashboard_Data!$C$62:$C$71</c:f>
              <c:numCache>
                <c:formatCode>0</c:formatCode>
                <c:ptCount val="10"/>
                <c:pt idx="0">
                  <c:v>36.975000000000001</c:v>
                </c:pt>
                <c:pt idx="1">
                  <c:v>0</c:v>
                </c:pt>
                <c:pt idx="2">
                  <c:v>33.505882352941178</c:v>
                </c:pt>
                <c:pt idx="3">
                  <c:v>0</c:v>
                </c:pt>
                <c:pt idx="4">
                  <c:v>0</c:v>
                </c:pt>
                <c:pt idx="5">
                  <c:v>40.833333333333336</c:v>
                </c:pt>
                <c:pt idx="6">
                  <c:v>0</c:v>
                </c:pt>
                <c:pt idx="7">
                  <c:v>34.928571428571431</c:v>
                </c:pt>
                <c:pt idx="8">
                  <c:v>37.716666666666661</c:v>
                </c:pt>
                <c:pt idx="9">
                  <c:v>0</c:v>
                </c:pt>
              </c:numCache>
            </c:numRef>
          </c:val>
          <c:extLst>
            <c:ext xmlns:c16="http://schemas.microsoft.com/office/drawing/2014/chart" uri="{C3380CC4-5D6E-409C-BE32-E72D297353CC}">
              <c16:uniqueId val="{00000001-5C29-47F4-AA08-B5190F32ECB1}"/>
            </c:ext>
          </c:extLst>
        </c:ser>
        <c:dLbls>
          <c:showLegendKey val="0"/>
          <c:showVal val="0"/>
          <c:showCatName val="0"/>
          <c:showSerName val="0"/>
          <c:showPercent val="0"/>
          <c:showBubbleSize val="0"/>
        </c:dLbls>
        <c:gapWidth val="219"/>
        <c:overlap val="100"/>
        <c:axId val="424078024"/>
        <c:axId val="424079104"/>
      </c:barChart>
      <c:catAx>
        <c:axId val="424078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24079104"/>
        <c:crosses val="autoZero"/>
        <c:auto val="1"/>
        <c:lblAlgn val="ctr"/>
        <c:lblOffset val="100"/>
        <c:noMultiLvlLbl val="0"/>
      </c:catAx>
      <c:valAx>
        <c:axId val="4240791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780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8251246864651893E-2"/>
          <c:y val="4.8888888888888891E-2"/>
          <c:w val="0.89035924833120916"/>
          <c:h val="0.8480076990376203"/>
        </c:manualLayout>
      </c:layout>
      <c:barChart>
        <c:barDir val="col"/>
        <c:grouping val="clustered"/>
        <c:varyColors val="0"/>
        <c:ser>
          <c:idx val="0"/>
          <c:order val="0"/>
          <c:tx>
            <c:strRef>
              <c:f>Dashboard_Data!$B$88</c:f>
              <c:strCache>
                <c:ptCount val="1"/>
                <c:pt idx="0">
                  <c:v>BPL_Households_Pct </c:v>
                </c:pt>
              </c:strCache>
            </c:strRef>
          </c:tx>
          <c:spPr>
            <a:solidFill>
              <a:srgbClr val="06202B"/>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Dashboard_Data!$A$89:$A$92</c:f>
              <c:strCache>
                <c:ptCount val="4"/>
                <c:pt idx="0">
                  <c:v>Garo Hills</c:v>
                </c:pt>
                <c:pt idx="1">
                  <c:v>Jaintia Hills</c:v>
                </c:pt>
                <c:pt idx="2">
                  <c:v>Khasi Hills</c:v>
                </c:pt>
                <c:pt idx="3">
                  <c:v>Ri Bhoi</c:v>
                </c:pt>
              </c:strCache>
            </c:strRef>
          </c:cat>
          <c:val>
            <c:numRef>
              <c:f>Dashboard_Data!$B$89:$B$92</c:f>
              <c:numCache>
                <c:formatCode>0</c:formatCode>
                <c:ptCount val="4"/>
                <c:pt idx="0">
                  <c:v>38.319047619047616</c:v>
                </c:pt>
                <c:pt idx="1">
                  <c:v>42.063636363636363</c:v>
                </c:pt>
                <c:pt idx="2">
                  <c:v>35.959090909090918</c:v>
                </c:pt>
                <c:pt idx="3">
                  <c:v>44.519999999999996</c:v>
                </c:pt>
              </c:numCache>
            </c:numRef>
          </c:val>
          <c:extLst>
            <c:ext xmlns:c16="http://schemas.microsoft.com/office/drawing/2014/chart" uri="{C3380CC4-5D6E-409C-BE32-E72D297353CC}">
              <c16:uniqueId val="{00000000-5F0B-4386-9553-C38E5C5C8918}"/>
            </c:ext>
          </c:extLst>
        </c:ser>
        <c:ser>
          <c:idx val="1"/>
          <c:order val="1"/>
          <c:tx>
            <c:strRef>
              <c:f>Dashboard_Data!$C$88</c:f>
              <c:strCache>
                <c:ptCount val="1"/>
                <c:pt idx="0">
                  <c:v>Bottom 5</c:v>
                </c:pt>
              </c:strCache>
            </c:strRef>
          </c:tx>
          <c:spPr>
            <a:solidFill>
              <a:schemeClr val="accent2"/>
            </a:solidFill>
            <a:ln>
              <a:noFill/>
            </a:ln>
            <a:effectLst/>
          </c:spPr>
          <c:invertIfNegative val="0"/>
          <c:dPt>
            <c:idx val="0"/>
            <c:invertIfNegative val="0"/>
            <c:bubble3D val="0"/>
            <c:spPr>
              <a:solidFill>
                <a:srgbClr val="077A7D"/>
              </a:solidFill>
              <a:ln>
                <a:noFill/>
              </a:ln>
              <a:effectLst/>
            </c:spPr>
            <c:extLst>
              <c:ext xmlns:c16="http://schemas.microsoft.com/office/drawing/2014/chart" uri="{C3380CC4-5D6E-409C-BE32-E72D297353CC}">
                <c16:uniqueId val="{00000002-DD0D-47DF-830B-91E02A94E141}"/>
              </c:ext>
            </c:extLst>
          </c:dPt>
          <c:dPt>
            <c:idx val="1"/>
            <c:invertIfNegative val="0"/>
            <c:bubble3D val="0"/>
            <c:spPr>
              <a:solidFill>
                <a:srgbClr val="077A7D"/>
              </a:solidFill>
              <a:ln>
                <a:noFill/>
              </a:ln>
              <a:effectLst/>
            </c:spPr>
            <c:extLst>
              <c:ext xmlns:c16="http://schemas.microsoft.com/office/drawing/2014/chart" uri="{C3380CC4-5D6E-409C-BE32-E72D297353CC}">
                <c16:uniqueId val="{00000001-DD0D-47DF-830B-91E02A94E141}"/>
              </c:ext>
            </c:extLst>
          </c:dPt>
          <c:dPt>
            <c:idx val="2"/>
            <c:invertIfNegative val="0"/>
            <c:bubble3D val="0"/>
            <c:spPr>
              <a:solidFill>
                <a:srgbClr val="077A7D"/>
              </a:solidFill>
              <a:ln>
                <a:noFill/>
              </a:ln>
              <a:effectLst/>
            </c:spPr>
            <c:extLst>
              <c:ext xmlns:c16="http://schemas.microsoft.com/office/drawing/2014/chart" uri="{C3380CC4-5D6E-409C-BE32-E72D297353CC}">
                <c16:uniqueId val="{00000000-DD0D-47DF-830B-91E02A94E141}"/>
              </c:ext>
            </c:extLst>
          </c:dPt>
          <c:val>
            <c:numRef>
              <c:f>Dashboard_Data!$C$89:$C$92</c:f>
              <c:numCache>
                <c:formatCode>0</c:formatCode>
                <c:ptCount val="4"/>
                <c:pt idx="0">
                  <c:v>0</c:v>
                </c:pt>
                <c:pt idx="1">
                  <c:v>0</c:v>
                </c:pt>
                <c:pt idx="2">
                  <c:v>35.959090909090918</c:v>
                </c:pt>
                <c:pt idx="3">
                  <c:v>0</c:v>
                </c:pt>
              </c:numCache>
            </c:numRef>
          </c:val>
          <c:extLst>
            <c:ext xmlns:c16="http://schemas.microsoft.com/office/drawing/2014/chart" uri="{C3380CC4-5D6E-409C-BE32-E72D297353CC}">
              <c16:uniqueId val="{00000002-5F0B-4386-9553-C38E5C5C8918}"/>
            </c:ext>
          </c:extLst>
        </c:ser>
        <c:dLbls>
          <c:showLegendKey val="0"/>
          <c:showVal val="0"/>
          <c:showCatName val="0"/>
          <c:showSerName val="0"/>
          <c:showPercent val="0"/>
          <c:showBubbleSize val="0"/>
        </c:dLbls>
        <c:gapWidth val="312"/>
        <c:overlap val="100"/>
        <c:axId val="650044672"/>
        <c:axId val="650045752"/>
      </c:barChart>
      <c:catAx>
        <c:axId val="65004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045752"/>
        <c:crosses val="autoZero"/>
        <c:auto val="1"/>
        <c:lblAlgn val="ctr"/>
        <c:lblOffset val="100"/>
        <c:noMultiLvlLbl val="0"/>
      </c:catAx>
      <c:valAx>
        <c:axId val="650045752"/>
        <c:scaling>
          <c:orientation val="minMax"/>
          <c:max val="100"/>
          <c:min val="0"/>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50044672"/>
        <c:crosses val="autoZero"/>
        <c:crossBetween val="between"/>
        <c:majorUnit val="1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[Boanerjes_Wann_finished_report_meghalaya_constituency_data.xlsm]Dashboard_Data!Voter</c:name>
    <c:fmtId val="16"/>
  </c:pivotSource>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IN" sz="900" b="1" i="0" u="none" strike="noStrike" baseline="0">
                <a:solidFill>
                  <a:schemeClr val="tx1">
                    <a:lumMod val="65000"/>
                    <a:lumOff val="35000"/>
                  </a:schemeClr>
                </a:solidFill>
                <a:effectLst/>
              </a:rPr>
              <a:t>Voter_Turnout_2023_Pct </a:t>
            </a:r>
            <a:r>
              <a:rPr lang="en-IN" sz="900" b="0" i="0" u="none" strike="noStrike" baseline="0">
                <a:solidFill>
                  <a:schemeClr val="tx1">
                    <a:lumMod val="65000"/>
                    <a:lumOff val="35000"/>
                  </a:schemeClr>
                </a:solidFill>
              </a:rPr>
              <a:t> </a:t>
            </a:r>
            <a:endParaRPr lang="en-US" sz="900">
              <a:solidFill>
                <a:schemeClr val="tx1">
                  <a:lumMod val="65000"/>
                  <a:lumOff val="35000"/>
                </a:schemeClr>
              </a:solidFill>
            </a:endParaRPr>
          </a:p>
        </c:rich>
      </c:tx>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noFill/>
            <a:round/>
          </a:ln>
          <a:effectLst/>
        </c:spPr>
        <c:marker>
          <c:symbol val="dash"/>
          <c:size val="13"/>
          <c:spPr>
            <a:solidFill>
              <a:srgbClr val="06202B"/>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Dashboard_Data!$B$100</c:f>
              <c:strCache>
                <c:ptCount val="1"/>
                <c:pt idx="0">
                  <c:v>Total</c:v>
                </c:pt>
              </c:strCache>
            </c:strRef>
          </c:tx>
          <c:spPr>
            <a:ln w="28575" cap="rnd">
              <a:noFill/>
              <a:round/>
            </a:ln>
            <a:effectLst/>
          </c:spPr>
          <c:marker>
            <c:symbol val="dash"/>
            <c:size val="13"/>
            <c:spPr>
              <a:solidFill>
                <a:srgbClr val="06202B"/>
              </a:solidFill>
              <a:ln w="9525">
                <a:noFill/>
              </a:ln>
              <a:effectLst/>
            </c:spPr>
          </c:marker>
          <c:cat>
            <c:strRef>
              <c:f>Dashboard_Data!$A$101:$A$110</c:f>
              <c:strCache>
                <c:ptCount val="10"/>
                <c:pt idx="0">
                  <c:v>West Khasi Hills</c:v>
                </c:pt>
                <c:pt idx="1">
                  <c:v>West Jaintia Hills</c:v>
                </c:pt>
                <c:pt idx="2">
                  <c:v>West Garo Hills</c:v>
                </c:pt>
                <c:pt idx="3">
                  <c:v>South West Garo Hills</c:v>
                </c:pt>
                <c:pt idx="4">
                  <c:v>South Garo Hills</c:v>
                </c:pt>
                <c:pt idx="5">
                  <c:v>Ri Bhoi</c:v>
                </c:pt>
                <c:pt idx="6">
                  <c:v>North Garo Hills</c:v>
                </c:pt>
                <c:pt idx="7">
                  <c:v>East Khasi Hills</c:v>
                </c:pt>
                <c:pt idx="8">
                  <c:v>East Jaintia Hills</c:v>
                </c:pt>
                <c:pt idx="9">
                  <c:v>East Garo Hills</c:v>
                </c:pt>
              </c:strCache>
            </c:strRef>
          </c:cat>
          <c:val>
            <c:numRef>
              <c:f>Dashboard_Data!$B$101:$B$110</c:f>
              <c:numCache>
                <c:formatCode>0</c:formatCode>
                <c:ptCount val="10"/>
                <c:pt idx="0">
                  <c:v>80.639999999999986</c:v>
                </c:pt>
                <c:pt idx="1">
                  <c:v>77.533333333333317</c:v>
                </c:pt>
                <c:pt idx="2">
                  <c:v>77.557142857142864</c:v>
                </c:pt>
                <c:pt idx="3">
                  <c:v>80.899999999999991</c:v>
                </c:pt>
                <c:pt idx="4">
                  <c:v>78.899999999999991</c:v>
                </c:pt>
                <c:pt idx="5">
                  <c:v>83.960000000000008</c:v>
                </c:pt>
                <c:pt idx="6">
                  <c:v>78.875</c:v>
                </c:pt>
                <c:pt idx="7">
                  <c:v>73.770588235294127</c:v>
                </c:pt>
                <c:pt idx="8">
                  <c:v>78.3</c:v>
                </c:pt>
                <c:pt idx="9">
                  <c:v>85.924999999999997</c:v>
                </c:pt>
              </c:numCache>
            </c:numRef>
          </c:val>
          <c:smooth val="0"/>
          <c:extLst>
            <c:ext xmlns:c16="http://schemas.microsoft.com/office/drawing/2014/chart" uri="{C3380CC4-5D6E-409C-BE32-E72D297353CC}">
              <c16:uniqueId val="{00000000-3E30-4459-869C-AC8B096A8430}"/>
            </c:ext>
          </c:extLst>
        </c:ser>
        <c:dLbls>
          <c:showLegendKey val="0"/>
          <c:showVal val="0"/>
          <c:showCatName val="0"/>
          <c:showSerName val="0"/>
          <c:showPercent val="0"/>
          <c:showBubbleSize val="0"/>
        </c:dLbls>
        <c:marker val="1"/>
        <c:smooth val="0"/>
        <c:axId val="660689712"/>
        <c:axId val="660691512"/>
      </c:lineChart>
      <c:catAx>
        <c:axId val="66068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0691512"/>
        <c:crosses val="autoZero"/>
        <c:auto val="1"/>
        <c:lblAlgn val="ctr"/>
        <c:lblOffset val="100"/>
        <c:noMultiLvlLbl val="0"/>
      </c:catAx>
      <c:valAx>
        <c:axId val="6606915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0689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22" fmlaLink="Dashboard_Data!$A$59" fmlaRange="Dashboard_Data!$I$1:$I$6" sel="2"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absolute">
    <xdr:from>
      <xdr:col>0</xdr:col>
      <xdr:colOff>95249</xdr:colOff>
      <xdr:row>8</xdr:row>
      <xdr:rowOff>152400</xdr:rowOff>
    </xdr:from>
    <xdr:to>
      <xdr:col>5</xdr:col>
      <xdr:colOff>361950</xdr:colOff>
      <xdr:row>23</xdr:row>
      <xdr:rowOff>28575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10</xdr:row>
      <xdr:rowOff>190499</xdr:rowOff>
    </xdr:from>
    <xdr:to>
      <xdr:col>1</xdr:col>
      <xdr:colOff>323849</xdr:colOff>
      <xdr:row>29</xdr:row>
      <xdr:rowOff>161924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76199</xdr:rowOff>
    </xdr:from>
    <xdr:to>
      <xdr:col>1</xdr:col>
      <xdr:colOff>323850</xdr:colOff>
      <xdr:row>50</xdr:row>
      <xdr:rowOff>180974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53</xdr:row>
      <xdr:rowOff>190499</xdr:rowOff>
    </xdr:from>
    <xdr:to>
      <xdr:col>1</xdr:col>
      <xdr:colOff>323849</xdr:colOff>
      <xdr:row>68</xdr:row>
      <xdr:rowOff>123824</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17</xdr:row>
      <xdr:rowOff>47625</xdr:rowOff>
    </xdr:from>
    <xdr:to>
      <xdr:col>7</xdr:col>
      <xdr:colOff>400050</xdr:colOff>
      <xdr:row>31</xdr:row>
      <xdr:rowOff>123825</xdr:rowOff>
    </xdr:to>
    <xdr:grpSp>
      <xdr:nvGrpSpPr>
        <xdr:cNvPr id="31" name="Group 30">
          <a:extLst>
            <a:ext uri="{FF2B5EF4-FFF2-40B4-BE49-F238E27FC236}">
              <a16:creationId xmlns:a16="http://schemas.microsoft.com/office/drawing/2014/main" id="{00000000-0008-0000-0600-00001F000000}"/>
            </a:ext>
          </a:extLst>
        </xdr:cNvPr>
        <xdr:cNvGrpSpPr/>
      </xdr:nvGrpSpPr>
      <xdr:grpSpPr>
        <a:xfrm>
          <a:off x="95250" y="3286125"/>
          <a:ext cx="4572000" cy="2743200"/>
          <a:chOff x="95250" y="2695575"/>
          <a:chExt cx="4572000" cy="2743200"/>
        </a:xfrm>
      </xdr:grpSpPr>
      <xdr:sp macro="" textlink="Dashboard_Data!F22">
        <xdr:nvSpPr>
          <xdr:cNvPr id="29" name="TextBox 28">
            <a:extLst>
              <a:ext uri="{FF2B5EF4-FFF2-40B4-BE49-F238E27FC236}">
                <a16:creationId xmlns:a16="http://schemas.microsoft.com/office/drawing/2014/main" id="{00000000-0008-0000-0600-00001D000000}"/>
              </a:ext>
            </a:extLst>
          </xdr:cNvPr>
          <xdr:cNvSpPr txBox="1"/>
        </xdr:nvSpPr>
        <xdr:spPr>
          <a:xfrm>
            <a:off x="476250" y="2952749"/>
            <a:ext cx="2105025" cy="190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0D4EA4-D4FC-4AE5-AACC-6C855978AD91}" type="TxLink">
              <a:rPr lang="en-US" sz="1100" b="0" i="0" u="none" strike="noStrike">
                <a:solidFill>
                  <a:srgbClr val="000000"/>
                </a:solidFill>
                <a:latin typeface="Calibri"/>
                <a:cs typeface="Calibri"/>
              </a:rPr>
              <a:pPr/>
              <a:t>Highlighted are bottom 5</a:t>
            </a:fld>
            <a:endParaRPr lang="en-IN" sz="800"/>
          </a:p>
        </xdr:txBody>
      </xdr:sp>
      <xdr:graphicFrame macro="">
        <xdr:nvGraphicFramePr>
          <xdr:cNvPr id="19" name="Chart 18">
            <a:extLst>
              <a:ext uri="{FF2B5EF4-FFF2-40B4-BE49-F238E27FC236}">
                <a16:creationId xmlns:a16="http://schemas.microsoft.com/office/drawing/2014/main" id="{00000000-0008-0000-0600-000013000000}"/>
              </a:ext>
            </a:extLst>
          </xdr:cNvPr>
          <xdr:cNvGraphicFramePr>
            <a:graphicFrameLocks/>
          </xdr:cNvGraphicFramePr>
        </xdr:nvGraphicFramePr>
        <xdr:xfrm>
          <a:off x="95250" y="2695575"/>
          <a:ext cx="4572000" cy="274320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0</xdr:col>
      <xdr:colOff>66676</xdr:colOff>
      <xdr:row>4</xdr:row>
      <xdr:rowOff>19049</xdr:rowOff>
    </xdr:from>
    <xdr:to>
      <xdr:col>10</xdr:col>
      <xdr:colOff>553441</xdr:colOff>
      <xdr:row>11</xdr:row>
      <xdr:rowOff>19050</xdr:rowOff>
    </xdr:to>
    <xdr:grpSp>
      <xdr:nvGrpSpPr>
        <xdr:cNvPr id="46" name="Group 45">
          <a:extLst>
            <a:ext uri="{FF2B5EF4-FFF2-40B4-BE49-F238E27FC236}">
              <a16:creationId xmlns:a16="http://schemas.microsoft.com/office/drawing/2014/main" id="{00000000-0008-0000-0600-00002E000000}"/>
            </a:ext>
          </a:extLst>
        </xdr:cNvPr>
        <xdr:cNvGrpSpPr/>
      </xdr:nvGrpSpPr>
      <xdr:grpSpPr>
        <a:xfrm>
          <a:off x="66676" y="781049"/>
          <a:ext cx="6582765" cy="1333501"/>
          <a:chOff x="66676" y="561974"/>
          <a:chExt cx="6582765" cy="1333501"/>
        </a:xfrm>
        <a:effectLst>
          <a:outerShdw blurRad="76200" dist="2540000" dir="21540000" sx="34000" sy="34000" kx="1200000" algn="br" rotWithShape="0">
            <a:prstClr val="black">
              <a:alpha val="0"/>
            </a:prstClr>
          </a:outerShdw>
          <a:reflection stA="0" endPos="65000" dist="50800" dir="5400000" sy="-100000" algn="bl" rotWithShape="0"/>
        </a:effectLst>
      </xdr:grpSpPr>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66676" y="561974"/>
            <a:ext cx="6322520" cy="1333501"/>
          </a:xfrm>
          <a:prstGeom prst="roundRect">
            <a:avLst>
              <a:gd name="adj" fmla="val 5770"/>
            </a:avLst>
          </a:prstGeom>
          <a:solidFill>
            <a:srgbClr val="06202B"/>
          </a:solidFill>
          <a:ln>
            <a:noFill/>
          </a:ln>
          <a:effectLst>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400"/>
          </a:p>
        </xdr:txBody>
      </xdr:sp>
      <xdr:grpSp>
        <xdr:nvGrpSpPr>
          <xdr:cNvPr id="32" name="Group 31">
            <a:extLst>
              <a:ext uri="{FF2B5EF4-FFF2-40B4-BE49-F238E27FC236}">
                <a16:creationId xmlns:a16="http://schemas.microsoft.com/office/drawing/2014/main" id="{00000000-0008-0000-0600-000020000000}"/>
              </a:ext>
            </a:extLst>
          </xdr:cNvPr>
          <xdr:cNvGrpSpPr/>
        </xdr:nvGrpSpPr>
        <xdr:grpSpPr>
          <a:xfrm>
            <a:off x="208407" y="638175"/>
            <a:ext cx="6441034" cy="1136838"/>
            <a:chOff x="170307" y="895350"/>
            <a:chExt cx="6441034" cy="1136838"/>
          </a:xfrm>
        </xdr:grpSpPr>
        <xdr:sp macro="" textlink="">
          <xdr:nvSpPr>
            <xdr:cNvPr id="7" name="Rectangle: Rounded Corners 6">
              <a:extLst>
                <a:ext uri="{FF2B5EF4-FFF2-40B4-BE49-F238E27FC236}">
                  <a16:creationId xmlns:a16="http://schemas.microsoft.com/office/drawing/2014/main" id="{00000000-0008-0000-0600-000007000000}"/>
                </a:ext>
              </a:extLst>
            </xdr:cNvPr>
            <xdr:cNvSpPr/>
          </xdr:nvSpPr>
          <xdr:spPr>
            <a:xfrm>
              <a:off x="170307" y="908238"/>
              <a:ext cx="921555" cy="1123950"/>
            </a:xfrm>
            <a:prstGeom prst="roundRect">
              <a:avLst>
                <a:gd name="adj" fmla="val 3265"/>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 name="Rectangle: Rounded Corners 8">
              <a:extLst>
                <a:ext uri="{FF2B5EF4-FFF2-40B4-BE49-F238E27FC236}">
                  <a16:creationId xmlns:a16="http://schemas.microsoft.com/office/drawing/2014/main" id="{00000000-0008-0000-0600-000009000000}"/>
                </a:ext>
              </a:extLst>
            </xdr:cNvPr>
            <xdr:cNvSpPr/>
          </xdr:nvSpPr>
          <xdr:spPr>
            <a:xfrm>
              <a:off x="5689785" y="901514"/>
              <a:ext cx="921556" cy="1123950"/>
            </a:xfrm>
            <a:prstGeom prst="roundRect">
              <a:avLst>
                <a:gd name="adj" fmla="val 5327"/>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Dashboard_Data!A7">
          <xdr:nvSpPr>
            <xdr:cNvPr id="12" name="Rectangle: Rounded Corners 11">
              <a:extLst>
                <a:ext uri="{FF2B5EF4-FFF2-40B4-BE49-F238E27FC236}">
                  <a16:creationId xmlns:a16="http://schemas.microsoft.com/office/drawing/2014/main" id="{00000000-0008-0000-0600-00000C000000}"/>
                </a:ext>
              </a:extLst>
            </xdr:cNvPr>
            <xdr:cNvSpPr/>
          </xdr:nvSpPr>
          <xdr:spPr>
            <a:xfrm>
              <a:off x="213484" y="965388"/>
              <a:ext cx="835200" cy="432000"/>
            </a:xfrm>
            <a:prstGeom prst="roundRect">
              <a:avLst>
                <a:gd name="adj" fmla="val 4902"/>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4B2DF2B-11B8-433A-A29F-3D7DF86031A3}" type="TxLink">
                <a:rPr lang="en-US" sz="800" b="0" i="0" u="none" strike="noStrike">
                  <a:solidFill>
                    <a:schemeClr val="bg1"/>
                  </a:solidFill>
                  <a:latin typeface="Calibri"/>
                  <a:ea typeface="+mn-ea"/>
                  <a:cs typeface="Calibri"/>
                </a:rPr>
                <a:pPr marL="0" indent="0" algn="ctr"/>
                <a:t>Voter_Turnout_2023_Pct </a:t>
              </a:fld>
              <a:endParaRPr lang="en-IN" sz="800" b="0" i="0" u="none" strike="noStrike">
                <a:solidFill>
                  <a:schemeClr val="bg1"/>
                </a:solidFill>
                <a:latin typeface="Calibri"/>
                <a:ea typeface="+mn-ea"/>
                <a:cs typeface="Calibri"/>
              </a:endParaRPr>
            </a:p>
          </xdr:txBody>
        </xdr:sp>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238105" y="895350"/>
              <a:ext cx="921555" cy="1123950"/>
            </a:xfrm>
            <a:prstGeom prst="roundRect">
              <a:avLst>
                <a:gd name="adj" fmla="val 7389"/>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 name="Rectangle: Rounded Corners 4">
              <a:extLst>
                <a:ext uri="{FF2B5EF4-FFF2-40B4-BE49-F238E27FC236}">
                  <a16:creationId xmlns:a16="http://schemas.microsoft.com/office/drawing/2014/main" id="{00000000-0008-0000-0600-000005000000}"/>
                </a:ext>
              </a:extLst>
            </xdr:cNvPr>
            <xdr:cNvSpPr/>
          </xdr:nvSpPr>
          <xdr:spPr>
            <a:xfrm>
              <a:off x="2356213" y="895350"/>
              <a:ext cx="921600" cy="1123950"/>
            </a:xfrm>
            <a:prstGeom prst="roundRect">
              <a:avLst>
                <a:gd name="adj" fmla="val 6358"/>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3482753" y="895350"/>
              <a:ext cx="921600" cy="1123950"/>
            </a:xfrm>
            <a:prstGeom prst="roundRect">
              <a:avLst>
                <a:gd name="adj" fmla="val 7389"/>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 name="Rectangle: Rounded Corners 7">
              <a:extLst>
                <a:ext uri="{FF2B5EF4-FFF2-40B4-BE49-F238E27FC236}">
                  <a16:creationId xmlns:a16="http://schemas.microsoft.com/office/drawing/2014/main" id="{00000000-0008-0000-0600-000008000000}"/>
                </a:ext>
              </a:extLst>
            </xdr:cNvPr>
            <xdr:cNvSpPr/>
          </xdr:nvSpPr>
          <xdr:spPr>
            <a:xfrm>
              <a:off x="4609292" y="895350"/>
              <a:ext cx="921600" cy="1123950"/>
            </a:xfrm>
            <a:prstGeom prst="roundRect">
              <a:avLst>
                <a:gd name="adj" fmla="val 8420"/>
              </a:avLst>
            </a:prstGeom>
            <a:solidFill>
              <a:srgbClr val="6E1A37"/>
            </a:soli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Dashboard_Data!A9">
          <xdr:nvSpPr>
            <xdr:cNvPr id="20" name="Rectangle: Rounded Corners 19">
              <a:extLst>
                <a:ext uri="{FF2B5EF4-FFF2-40B4-BE49-F238E27FC236}">
                  <a16:creationId xmlns:a16="http://schemas.microsoft.com/office/drawing/2014/main" id="{00000000-0008-0000-0600-000014000000}"/>
                </a:ext>
              </a:extLst>
            </xdr:cNvPr>
            <xdr:cNvSpPr/>
          </xdr:nvSpPr>
          <xdr:spPr>
            <a:xfrm>
              <a:off x="340401" y="1733551"/>
              <a:ext cx="609561"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A74EE97-3623-4BF5-93CD-AEEE450A0C81}" type="TxLink">
                <a:rPr lang="en-US" sz="1050">
                  <a:solidFill>
                    <a:schemeClr val="lt1"/>
                  </a:solidFill>
                  <a:latin typeface="+mn-lt"/>
                  <a:ea typeface="+mn-ea"/>
                  <a:cs typeface="+mn-cs"/>
                </a:rPr>
                <a:pPr marL="0" indent="0" algn="ctr"/>
                <a:t>78%</a:t>
              </a:fld>
              <a:endParaRPr lang="en-IN" sz="1050">
                <a:solidFill>
                  <a:schemeClr val="lt1"/>
                </a:solidFill>
                <a:latin typeface="+mn-lt"/>
                <a:ea typeface="+mn-ea"/>
                <a:cs typeface="+mn-cs"/>
              </a:endParaRPr>
            </a:p>
          </xdr:txBody>
        </xdr:sp>
        <xdr:sp macro="" textlink="Dashboard_Data!B9">
          <xdr:nvSpPr>
            <xdr:cNvPr id="21" name="Rectangle: Rounded Corners 20">
              <a:extLst>
                <a:ext uri="{FF2B5EF4-FFF2-40B4-BE49-F238E27FC236}">
                  <a16:creationId xmlns:a16="http://schemas.microsoft.com/office/drawing/2014/main" id="{00000000-0008-0000-0600-000015000000}"/>
                </a:ext>
              </a:extLst>
            </xdr:cNvPr>
            <xdr:cNvSpPr/>
          </xdr:nvSpPr>
          <xdr:spPr>
            <a:xfrm>
              <a:off x="1394102" y="1724025"/>
              <a:ext cx="609561"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17D0FE06-6D5D-4A59-AAB5-B9005F091E84}" type="TxLink">
                <a:rPr lang="en-US" sz="1050">
                  <a:solidFill>
                    <a:schemeClr val="lt1"/>
                  </a:solidFill>
                  <a:latin typeface="+mn-lt"/>
                  <a:ea typeface="+mn-ea"/>
                  <a:cs typeface="+mn-cs"/>
                </a:rPr>
                <a:pPr marL="0" indent="0" algn="ctr"/>
                <a:t>39%</a:t>
              </a:fld>
              <a:endParaRPr lang="en-IN" sz="1050">
                <a:solidFill>
                  <a:schemeClr val="lt1"/>
                </a:solidFill>
                <a:latin typeface="+mn-lt"/>
                <a:ea typeface="+mn-ea"/>
                <a:cs typeface="+mn-cs"/>
              </a:endParaRPr>
            </a:p>
          </xdr:txBody>
        </xdr:sp>
        <xdr:sp macro="" textlink="Dashboard_Data!D9">
          <xdr:nvSpPr>
            <xdr:cNvPr id="23" name="Rectangle: Rounded Corners 22">
              <a:extLst>
                <a:ext uri="{FF2B5EF4-FFF2-40B4-BE49-F238E27FC236}">
                  <a16:creationId xmlns:a16="http://schemas.microsoft.com/office/drawing/2014/main" id="{00000000-0008-0000-0600-000017000000}"/>
                </a:ext>
              </a:extLst>
            </xdr:cNvPr>
            <xdr:cNvSpPr/>
          </xdr:nvSpPr>
          <xdr:spPr>
            <a:xfrm>
              <a:off x="3638773" y="1724025"/>
              <a:ext cx="609561"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3A80AF0-8FE1-470A-B1FF-7F8543B9791E}" type="TxLink">
                <a:rPr lang="en-US" sz="1050">
                  <a:solidFill>
                    <a:schemeClr val="lt1"/>
                  </a:solidFill>
                  <a:latin typeface="+mn-lt"/>
                  <a:ea typeface="+mn-ea"/>
                  <a:cs typeface="+mn-cs"/>
                </a:rPr>
                <a:pPr marL="0" indent="0" algn="ctr"/>
                <a:t>52%</a:t>
              </a:fld>
              <a:endParaRPr lang="en-IN" sz="1050">
                <a:solidFill>
                  <a:schemeClr val="lt1"/>
                </a:solidFill>
                <a:latin typeface="+mn-lt"/>
                <a:ea typeface="+mn-ea"/>
                <a:cs typeface="+mn-cs"/>
              </a:endParaRPr>
            </a:p>
          </xdr:txBody>
        </xdr:sp>
        <xdr:sp macro="" textlink="Dashboard_Data!C9">
          <xdr:nvSpPr>
            <xdr:cNvPr id="24" name="Rectangle: Rounded Corners 23">
              <a:extLst>
                <a:ext uri="{FF2B5EF4-FFF2-40B4-BE49-F238E27FC236}">
                  <a16:creationId xmlns:a16="http://schemas.microsoft.com/office/drawing/2014/main" id="{00000000-0008-0000-0600-000018000000}"/>
                </a:ext>
              </a:extLst>
            </xdr:cNvPr>
            <xdr:cNvSpPr/>
          </xdr:nvSpPr>
          <xdr:spPr>
            <a:xfrm>
              <a:off x="2512232" y="1724025"/>
              <a:ext cx="609562"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294469E-A30C-41A4-A92A-36DD0E12D97A}" type="TxLink">
                <a:rPr lang="en-US" sz="1050">
                  <a:solidFill>
                    <a:schemeClr val="lt1"/>
                  </a:solidFill>
                  <a:latin typeface="+mn-lt"/>
                  <a:ea typeface="+mn-ea"/>
                  <a:cs typeface="+mn-cs"/>
                </a:rPr>
                <a:pPr marL="0" indent="0" algn="ctr"/>
                <a:t>72%</a:t>
              </a:fld>
              <a:endParaRPr lang="en-IN" sz="1050">
                <a:solidFill>
                  <a:schemeClr val="lt1"/>
                </a:solidFill>
                <a:latin typeface="+mn-lt"/>
                <a:ea typeface="+mn-ea"/>
                <a:cs typeface="+mn-cs"/>
              </a:endParaRPr>
            </a:p>
          </xdr:txBody>
        </xdr:sp>
        <xdr:sp macro="" textlink="Dashboard_Data!E9">
          <xdr:nvSpPr>
            <xdr:cNvPr id="25" name="Rectangle: Rounded Corners 24">
              <a:extLst>
                <a:ext uri="{FF2B5EF4-FFF2-40B4-BE49-F238E27FC236}">
                  <a16:creationId xmlns:a16="http://schemas.microsoft.com/office/drawing/2014/main" id="{00000000-0008-0000-0600-000019000000}"/>
                </a:ext>
              </a:extLst>
            </xdr:cNvPr>
            <xdr:cNvSpPr/>
          </xdr:nvSpPr>
          <xdr:spPr>
            <a:xfrm>
              <a:off x="4765311" y="1724025"/>
              <a:ext cx="609562"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ACE499A4-474F-4C81-A329-750BD555B7C1}" type="TxLink">
                <a:rPr lang="en-US" sz="1050">
                  <a:solidFill>
                    <a:schemeClr val="lt1"/>
                  </a:solidFill>
                  <a:latin typeface="+mn-lt"/>
                  <a:ea typeface="+mn-ea"/>
                  <a:cs typeface="+mn-cs"/>
                </a:rPr>
                <a:pPr marL="0" indent="0" algn="ctr"/>
                <a:t>58%</a:t>
              </a:fld>
              <a:endParaRPr lang="en-IN" sz="1050">
                <a:solidFill>
                  <a:schemeClr val="lt1"/>
                </a:solidFill>
                <a:latin typeface="+mn-lt"/>
                <a:ea typeface="+mn-ea"/>
                <a:cs typeface="+mn-cs"/>
              </a:endParaRPr>
            </a:p>
          </xdr:txBody>
        </xdr:sp>
        <xdr:sp macro="" textlink="Dashboard_Data!F9">
          <xdr:nvSpPr>
            <xdr:cNvPr id="26" name="Rectangle: Rounded Corners 25">
              <a:extLst>
                <a:ext uri="{FF2B5EF4-FFF2-40B4-BE49-F238E27FC236}">
                  <a16:creationId xmlns:a16="http://schemas.microsoft.com/office/drawing/2014/main" id="{00000000-0008-0000-0600-00001A000000}"/>
                </a:ext>
              </a:extLst>
            </xdr:cNvPr>
            <xdr:cNvSpPr/>
          </xdr:nvSpPr>
          <xdr:spPr>
            <a:xfrm>
              <a:off x="5828542" y="1717302"/>
              <a:ext cx="609562" cy="276225"/>
            </a:xfrm>
            <a:prstGeom prst="roundRect">
              <a:avLst/>
            </a:prstGeom>
            <a:solidFill>
              <a:srgbClr val="077A7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010586F5-D644-4A20-AB28-E66C8B1C10F1}" type="TxLink">
                <a:rPr lang="en-US" sz="1050">
                  <a:solidFill>
                    <a:schemeClr val="lt1"/>
                  </a:solidFill>
                  <a:latin typeface="+mn-lt"/>
                  <a:ea typeface="+mn-ea"/>
                  <a:cs typeface="+mn-cs"/>
                </a:rPr>
                <a:pPr marL="0" indent="0" algn="ctr"/>
                <a:t>69%</a:t>
              </a:fld>
              <a:endParaRPr lang="en-IN" sz="1050">
                <a:solidFill>
                  <a:schemeClr val="lt1"/>
                </a:solidFill>
                <a:latin typeface="+mn-lt"/>
                <a:ea typeface="+mn-ea"/>
                <a:cs typeface="+mn-cs"/>
              </a:endParaRPr>
            </a:p>
          </xdr:txBody>
        </xdr:sp>
        <xdr:sp macro="" textlink="Dashboard_Data!B6">
          <xdr:nvSpPr>
            <xdr:cNvPr id="33" name="Rectangle: Rounded Corners 32">
              <a:extLst>
                <a:ext uri="{FF2B5EF4-FFF2-40B4-BE49-F238E27FC236}">
                  <a16:creationId xmlns:a16="http://schemas.microsoft.com/office/drawing/2014/main" id="{00000000-0008-0000-0600-000021000000}"/>
                </a:ext>
              </a:extLst>
            </xdr:cNvPr>
            <xdr:cNvSpPr/>
          </xdr:nvSpPr>
          <xdr:spPr>
            <a:xfrm>
              <a:off x="1282068" y="955862"/>
              <a:ext cx="833629" cy="228600"/>
            </a:xfrm>
            <a:prstGeom prst="roundRect">
              <a:avLst>
                <a:gd name="adj" fmla="val 12521"/>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9BF4257-816B-4609-857D-D630AFD9A3BE}" type="TxLink">
                <a:rPr lang="en-US" sz="800" b="0" i="0" u="none" strike="noStrike">
                  <a:solidFill>
                    <a:schemeClr val="bg1"/>
                  </a:solidFill>
                  <a:latin typeface="Calibri"/>
                  <a:ea typeface="+mn-ea"/>
                  <a:cs typeface="Calibri"/>
                </a:rPr>
                <a:pPr marL="0" indent="0" algn="ctr"/>
                <a:t>BPL_Pct</a:t>
              </a:fld>
              <a:endParaRPr lang="en-IN" sz="1050">
                <a:solidFill>
                  <a:schemeClr val="bg1"/>
                </a:solidFill>
                <a:latin typeface="+mn-lt"/>
                <a:ea typeface="+mn-ea"/>
                <a:cs typeface="+mn-cs"/>
              </a:endParaRPr>
            </a:p>
          </xdr:txBody>
        </xdr:sp>
        <xdr:sp macro="" textlink="Dashboard_Data!C6">
          <xdr:nvSpPr>
            <xdr:cNvPr id="36" name="Rectangle: Rounded Corners 35">
              <a:extLst>
                <a:ext uri="{FF2B5EF4-FFF2-40B4-BE49-F238E27FC236}">
                  <a16:creationId xmlns:a16="http://schemas.microsoft.com/office/drawing/2014/main" id="{00000000-0008-0000-0600-000024000000}"/>
                </a:ext>
              </a:extLst>
            </xdr:cNvPr>
            <xdr:cNvSpPr/>
          </xdr:nvSpPr>
          <xdr:spPr>
            <a:xfrm>
              <a:off x="2400198" y="962025"/>
              <a:ext cx="833630" cy="228600"/>
            </a:xfrm>
            <a:prstGeom prst="roundRect">
              <a:avLst>
                <a:gd name="adj" fmla="val 12521"/>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703B96D-B424-4926-92A0-13BAB6E4B8A4}" type="TxLink">
                <a:rPr lang="en-US" sz="800" b="0" i="0" u="none" strike="noStrike">
                  <a:solidFill>
                    <a:schemeClr val="bg1"/>
                  </a:solidFill>
                  <a:latin typeface="Calibri"/>
                  <a:ea typeface="+mn-ea"/>
                  <a:cs typeface="Calibri"/>
                </a:rPr>
                <a:pPr marL="0" indent="0" algn="ctr"/>
                <a:t>PM_Awas_Pct</a:t>
              </a:fld>
              <a:endParaRPr lang="en-IN" sz="1050">
                <a:solidFill>
                  <a:schemeClr val="bg1"/>
                </a:solidFill>
                <a:latin typeface="+mn-lt"/>
                <a:ea typeface="+mn-ea"/>
                <a:cs typeface="+mn-cs"/>
              </a:endParaRPr>
            </a:p>
          </xdr:txBody>
        </xdr:sp>
        <xdr:sp macro="" textlink="Dashboard_Data!D6">
          <xdr:nvSpPr>
            <xdr:cNvPr id="37" name="Rectangle: Rounded Corners 36">
              <a:extLst>
                <a:ext uri="{FF2B5EF4-FFF2-40B4-BE49-F238E27FC236}">
                  <a16:creationId xmlns:a16="http://schemas.microsoft.com/office/drawing/2014/main" id="{00000000-0008-0000-0600-000025000000}"/>
                </a:ext>
              </a:extLst>
            </xdr:cNvPr>
            <xdr:cNvSpPr/>
          </xdr:nvSpPr>
          <xdr:spPr>
            <a:xfrm>
              <a:off x="3524498" y="952500"/>
              <a:ext cx="838111" cy="228600"/>
            </a:xfrm>
            <a:prstGeom prst="roundRect">
              <a:avLst>
                <a:gd name="adj" fmla="val 12521"/>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EA6B8B3-6919-470E-954B-3106692502A8}" type="TxLink">
                <a:rPr lang="en-US" sz="800" b="0" i="0" u="none" strike="noStrike">
                  <a:solidFill>
                    <a:schemeClr val="bg1"/>
                  </a:solidFill>
                  <a:latin typeface="Calibri"/>
                  <a:ea typeface="+mn-ea"/>
                  <a:cs typeface="Calibri"/>
                </a:rPr>
                <a:pPr marL="0" indent="0" algn="ctr"/>
                <a:t>JJM_Pct</a:t>
              </a:fld>
              <a:endParaRPr lang="en-IN" sz="1050">
                <a:solidFill>
                  <a:schemeClr val="bg1"/>
                </a:solidFill>
                <a:latin typeface="+mn-lt"/>
                <a:ea typeface="+mn-ea"/>
                <a:cs typeface="+mn-cs"/>
              </a:endParaRPr>
            </a:p>
          </xdr:txBody>
        </xdr:sp>
        <xdr:sp macro="" textlink="Dashboard_Data!E6">
          <xdr:nvSpPr>
            <xdr:cNvPr id="38" name="Rectangle: Rounded Corners 37">
              <a:extLst>
                <a:ext uri="{FF2B5EF4-FFF2-40B4-BE49-F238E27FC236}">
                  <a16:creationId xmlns:a16="http://schemas.microsoft.com/office/drawing/2014/main" id="{00000000-0008-0000-0600-000026000000}"/>
                </a:ext>
              </a:extLst>
            </xdr:cNvPr>
            <xdr:cNvSpPr/>
          </xdr:nvSpPr>
          <xdr:spPr>
            <a:xfrm>
              <a:off x="4651036" y="962025"/>
              <a:ext cx="838112" cy="228600"/>
            </a:xfrm>
            <a:prstGeom prst="roundRect">
              <a:avLst>
                <a:gd name="adj" fmla="val 12521"/>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ADBCFB8-AE3D-48F3-8134-1A3703A31A8C}" type="TxLink">
                <a:rPr lang="en-US" sz="800" b="0" i="0" u="none" strike="noStrike">
                  <a:solidFill>
                    <a:schemeClr val="bg1"/>
                  </a:solidFill>
                  <a:latin typeface="Calibri"/>
                  <a:ea typeface="+mn-ea"/>
                  <a:cs typeface="Calibri"/>
                </a:rPr>
                <a:pPr marL="0" indent="0" algn="ctr"/>
                <a:t>Pucca_Road_Pct </a:t>
              </a:fld>
              <a:endParaRPr lang="en-IN" sz="1050">
                <a:solidFill>
                  <a:schemeClr val="bg1"/>
                </a:solidFill>
                <a:latin typeface="+mn-lt"/>
                <a:ea typeface="+mn-ea"/>
                <a:cs typeface="+mn-cs"/>
              </a:endParaRPr>
            </a:p>
          </xdr:txBody>
        </xdr:sp>
        <xdr:sp macro="" textlink="Dashboard_Data!F6">
          <xdr:nvSpPr>
            <xdr:cNvPr id="39" name="Rectangle: Rounded Corners 38">
              <a:extLst>
                <a:ext uri="{FF2B5EF4-FFF2-40B4-BE49-F238E27FC236}">
                  <a16:creationId xmlns:a16="http://schemas.microsoft.com/office/drawing/2014/main" id="{00000000-0008-0000-0600-000027000000}"/>
                </a:ext>
              </a:extLst>
            </xdr:cNvPr>
            <xdr:cNvSpPr/>
          </xdr:nvSpPr>
          <xdr:spPr>
            <a:xfrm>
              <a:off x="5733748" y="977714"/>
              <a:ext cx="833630" cy="431986"/>
            </a:xfrm>
            <a:prstGeom prst="roundRect">
              <a:avLst>
                <a:gd name="adj" fmla="val 12521"/>
              </a:avLst>
            </a:prstGeom>
            <a:noFill/>
            <a:ln>
              <a:solidFill>
                <a:schemeClr val="bg1"/>
              </a:solidFill>
            </a:ln>
            <a:scene3d>
              <a:camera prst="orthographicFront"/>
              <a:lightRig rig="threePt"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3CA5715-C104-4874-9493-60C1EDFE50AA}" type="TxLink">
                <a:rPr lang="en-US" sz="800" b="0" i="0" u="none" strike="noStrike">
                  <a:solidFill>
                    <a:schemeClr val="bg1"/>
                  </a:solidFill>
                  <a:latin typeface="Calibri"/>
                  <a:ea typeface="+mn-ea"/>
                  <a:cs typeface="Calibri"/>
                </a:rPr>
                <a:pPr marL="0" indent="0" algn="ctr"/>
                <a:t>Fund Utilisation%</a:t>
              </a:fld>
              <a:endParaRPr lang="en-IN" sz="800" b="0" i="0" u="none" strike="noStrike">
                <a:solidFill>
                  <a:schemeClr val="bg1"/>
                </a:solidFill>
                <a:latin typeface="Calibri"/>
                <a:ea typeface="+mn-ea"/>
                <a:cs typeface="Calibri"/>
              </a:endParaRPr>
            </a:p>
          </xdr:txBody>
        </xdr:sp>
      </xdr:grpSp>
    </xdr:grpSp>
    <xdr:clientData/>
  </xdr:twoCellAnchor>
  <xdr:twoCellAnchor>
    <xdr:from>
      <xdr:col>0</xdr:col>
      <xdr:colOff>57149</xdr:colOff>
      <xdr:row>0</xdr:row>
      <xdr:rowOff>57150</xdr:rowOff>
    </xdr:from>
    <xdr:to>
      <xdr:col>16</xdr:col>
      <xdr:colOff>161924</xdr:colOff>
      <xdr:row>2</xdr:row>
      <xdr:rowOff>133350</xdr:rowOff>
    </xdr:to>
    <xdr:sp macro="" textlink="">
      <xdr:nvSpPr>
        <xdr:cNvPr id="42" name="Rectangle: Diagonal Corners Rounded 41">
          <a:extLst>
            <a:ext uri="{FF2B5EF4-FFF2-40B4-BE49-F238E27FC236}">
              <a16:creationId xmlns:a16="http://schemas.microsoft.com/office/drawing/2014/main" id="{00000000-0008-0000-0600-00002A000000}"/>
            </a:ext>
          </a:extLst>
        </xdr:cNvPr>
        <xdr:cNvSpPr/>
      </xdr:nvSpPr>
      <xdr:spPr>
        <a:xfrm>
          <a:off x="57149" y="57150"/>
          <a:ext cx="9858375" cy="457200"/>
        </a:xfrm>
        <a:prstGeom prst="round2DiagRect">
          <a:avLst>
            <a:gd name="adj1" fmla="val 16667"/>
            <a:gd name="adj2" fmla="val 0"/>
          </a:avLst>
        </a:prstGeom>
        <a:solidFill>
          <a:srgbClr val="06202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a:latin typeface="Aharoni" panose="02010803020104030203" pitchFamily="2" charset="-79"/>
              <a:cs typeface="Aharoni" panose="02010803020104030203" pitchFamily="2" charset="-79"/>
            </a:rPr>
            <a:t>INTERACTIVE</a:t>
          </a:r>
          <a:r>
            <a:rPr lang="en-IN" sz="2400" baseline="0">
              <a:latin typeface="Aharoni" panose="02010803020104030203" pitchFamily="2" charset="-79"/>
              <a:cs typeface="Aharoni" panose="02010803020104030203" pitchFamily="2" charset="-79"/>
            </a:rPr>
            <a:t> DASHBOARD</a:t>
          </a:r>
          <a:endParaRPr lang="en-IN" sz="2400">
            <a:latin typeface="Aharoni" panose="02010803020104030203" pitchFamily="2" charset="-79"/>
            <a:cs typeface="Aharoni" panose="02010803020104030203" pitchFamily="2" charset="-79"/>
          </a:endParaRPr>
        </a:p>
      </xdr:txBody>
    </xdr:sp>
    <xdr:clientData/>
  </xdr:twoCellAnchor>
  <xdr:twoCellAnchor>
    <xdr:from>
      <xdr:col>11</xdr:col>
      <xdr:colOff>476250</xdr:colOff>
      <xdr:row>3</xdr:row>
      <xdr:rowOff>0</xdr:rowOff>
    </xdr:from>
    <xdr:to>
      <xdr:col>16</xdr:col>
      <xdr:colOff>142875</xdr:colOff>
      <xdr:row>10</xdr:row>
      <xdr:rowOff>28575</xdr:rowOff>
    </xdr:to>
    <xdr:grpSp>
      <xdr:nvGrpSpPr>
        <xdr:cNvPr id="28" name="Group 27">
          <a:extLst>
            <a:ext uri="{FF2B5EF4-FFF2-40B4-BE49-F238E27FC236}">
              <a16:creationId xmlns:a16="http://schemas.microsoft.com/office/drawing/2014/main" id="{00000000-0008-0000-0600-00001C000000}"/>
            </a:ext>
          </a:extLst>
        </xdr:cNvPr>
        <xdr:cNvGrpSpPr/>
      </xdr:nvGrpSpPr>
      <xdr:grpSpPr>
        <a:xfrm>
          <a:off x="7181850" y="571500"/>
          <a:ext cx="2714625" cy="1362075"/>
          <a:chOff x="6791325" y="571500"/>
          <a:chExt cx="2714625" cy="1362075"/>
        </a:xfrm>
      </xdr:grpSpPr>
      <xdr:sp macro="" textlink="">
        <xdr:nvSpPr>
          <xdr:cNvPr id="18" name="Rectangle: Rounded Corners 17">
            <a:extLst>
              <a:ext uri="{FF2B5EF4-FFF2-40B4-BE49-F238E27FC236}">
                <a16:creationId xmlns:a16="http://schemas.microsoft.com/office/drawing/2014/main" id="{00000000-0008-0000-0600-000012000000}"/>
              </a:ext>
            </a:extLst>
          </xdr:cNvPr>
          <xdr:cNvSpPr/>
        </xdr:nvSpPr>
        <xdr:spPr>
          <a:xfrm>
            <a:off x="6791325" y="571500"/>
            <a:ext cx="2714625" cy="1362075"/>
          </a:xfrm>
          <a:prstGeom prst="roundRect">
            <a:avLst>
              <a:gd name="adj" fmla="val 4321"/>
            </a:avLst>
          </a:prstGeom>
          <a:solidFill>
            <a:srgbClr val="06202B"/>
          </a:solidFill>
          <a:ln>
            <a:noFill/>
          </a:ln>
          <a:effectLst>
            <a:glow rad="2286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11" name="Primary_Occupation 1">
                <a:extLst>
                  <a:ext uri="{FF2B5EF4-FFF2-40B4-BE49-F238E27FC236}">
                    <a16:creationId xmlns:a16="http://schemas.microsoft.com/office/drawing/2014/main" id="{00000000-0008-0000-0600-00000B000000}"/>
                  </a:ext>
                </a:extLst>
              </xdr:cNvPr>
              <xdr:cNvGraphicFramePr/>
            </xdr:nvGraphicFramePr>
            <xdr:xfrm>
              <a:off x="6838951" y="619125"/>
              <a:ext cx="2619374" cy="1276349"/>
            </xdr:xfrm>
            <a:graphic>
              <a:graphicData uri="http://schemas.microsoft.com/office/drawing/2010/slicer">
                <sle:slicer xmlns:sle="http://schemas.microsoft.com/office/drawing/2010/slicer" name="Primary_Occupation 1"/>
              </a:graphicData>
            </a:graphic>
          </xdr:graphicFrame>
        </mc:Choice>
        <mc:Fallback xmlns="">
          <xdr:sp macro="" textlink="">
            <xdr:nvSpPr>
              <xdr:cNvPr id="0" name=""/>
              <xdr:cNvSpPr>
                <a:spLocks noTextEdit="1"/>
              </xdr:cNvSpPr>
            </xdr:nvSpPr>
            <xdr:spPr>
              <a:xfrm>
                <a:off x="7229476" y="619125"/>
                <a:ext cx="2619374" cy="12763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600075</xdr:colOff>
      <xdr:row>18</xdr:row>
      <xdr:rowOff>95251</xdr:rowOff>
    </xdr:from>
    <xdr:to>
      <xdr:col>3</xdr:col>
      <xdr:colOff>104775</xdr:colOff>
      <xdr:row>19</xdr:row>
      <xdr:rowOff>76201</xdr:rowOff>
    </xdr:to>
    <xdr:sp macro="" textlink="Dashboard_Data!F22">
      <xdr:nvSpPr>
        <xdr:cNvPr id="14" name="Rectangle: Rounded Corners 13">
          <a:extLst>
            <a:ext uri="{FF2B5EF4-FFF2-40B4-BE49-F238E27FC236}">
              <a16:creationId xmlns:a16="http://schemas.microsoft.com/office/drawing/2014/main" id="{00000000-0008-0000-0600-00000E000000}"/>
            </a:ext>
          </a:extLst>
        </xdr:cNvPr>
        <xdr:cNvSpPr/>
      </xdr:nvSpPr>
      <xdr:spPr>
        <a:xfrm>
          <a:off x="600075" y="3524251"/>
          <a:ext cx="1333500" cy="171450"/>
        </a:xfrm>
        <a:prstGeom prst="roundRect">
          <a:avLst>
            <a:gd name="adj" fmla="val 1252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AB607FA2-D15E-4556-90EA-C979AC6AC675}" type="TxLink">
            <a:rPr lang="en-US" sz="800" b="0" i="0" u="none" strike="noStrike">
              <a:solidFill>
                <a:srgbClr val="077A7D"/>
              </a:solidFill>
              <a:latin typeface="Calibri"/>
              <a:ea typeface="+mn-ea"/>
              <a:cs typeface="Calibri"/>
            </a:rPr>
            <a:pPr marL="0" indent="0" algn="l"/>
            <a:t>Highlighted are bottom 5</a:t>
          </a:fld>
          <a:endParaRPr lang="en-IN" sz="1050">
            <a:solidFill>
              <a:srgbClr val="077A7D"/>
            </a:solidFill>
            <a:latin typeface="+mn-lt"/>
            <a:ea typeface="+mn-ea"/>
            <a:cs typeface="+mn-cs"/>
          </a:endParaRPr>
        </a:p>
      </xdr:txBody>
    </xdr:sp>
    <xdr:clientData/>
  </xdr:twoCellAnchor>
  <xdr:twoCellAnchor>
    <xdr:from>
      <xdr:col>0</xdr:col>
      <xdr:colOff>0</xdr:colOff>
      <xdr:row>11</xdr:row>
      <xdr:rowOff>76200</xdr:rowOff>
    </xdr:from>
    <xdr:to>
      <xdr:col>12</xdr:col>
      <xdr:colOff>600075</xdr:colOff>
      <xdr:row>16</xdr:row>
      <xdr:rowOff>25801</xdr:rowOff>
    </xdr:to>
    <mc:AlternateContent xmlns:mc="http://schemas.openxmlformats.org/markup-compatibility/2006" xmlns:a14="http://schemas.microsoft.com/office/drawing/2010/main">
      <mc:Choice Requires="a14">
        <xdr:graphicFrame macro="">
          <xdr:nvGraphicFramePr>
            <xdr:cNvPr id="2" name="Distric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District 1"/>
            </a:graphicData>
          </a:graphic>
        </xdr:graphicFrame>
      </mc:Choice>
      <mc:Fallback xmlns="">
        <xdr:sp macro="" textlink="">
          <xdr:nvSpPr>
            <xdr:cNvPr id="0" name=""/>
            <xdr:cNvSpPr>
              <a:spLocks noTextEdit="1"/>
            </xdr:cNvSpPr>
          </xdr:nvSpPr>
          <xdr:spPr>
            <a:xfrm>
              <a:off x="0" y="2171700"/>
              <a:ext cx="7915275" cy="902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523875</xdr:colOff>
      <xdr:row>11</xdr:row>
      <xdr:rowOff>57150</xdr:rowOff>
    </xdr:from>
    <xdr:to>
      <xdr:col>16</xdr:col>
      <xdr:colOff>285750</xdr:colOff>
      <xdr:row>16</xdr:row>
      <xdr:rowOff>19049</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839075" y="2152650"/>
              <a:ext cx="2200275" cy="9143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0</xdr:col>
          <xdr:colOff>85725</xdr:colOff>
          <xdr:row>34</xdr:row>
          <xdr:rowOff>47625</xdr:rowOff>
        </xdr:from>
        <xdr:to>
          <xdr:col>3</xdr:col>
          <xdr:colOff>409575</xdr:colOff>
          <xdr:row>38</xdr:row>
          <xdr:rowOff>104775</xdr:rowOff>
        </xdr:to>
        <xdr:sp macro="" textlink="">
          <xdr:nvSpPr>
            <xdr:cNvPr id="4111" name="List Box 15" hidden="1">
              <a:extLst>
                <a:ext uri="{63B3BB69-23CF-44E3-9099-C40C66FF867C}">
                  <a14:compatExt spid="_x0000_s4111"/>
                </a:ext>
                <a:ext uri="{FF2B5EF4-FFF2-40B4-BE49-F238E27FC236}">
                  <a16:creationId xmlns:a16="http://schemas.microsoft.com/office/drawing/2014/main" id="{00000000-0008-0000-06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95249</xdr:colOff>
      <xdr:row>38</xdr:row>
      <xdr:rowOff>161925</xdr:rowOff>
    </xdr:from>
    <xdr:to>
      <xdr:col>9</xdr:col>
      <xdr:colOff>142874</xdr:colOff>
      <xdr:row>53</xdr:row>
      <xdr:rowOff>161925</xdr:rowOff>
    </xdr:to>
    <xdr:graphicFrame macro="">
      <xdr:nvGraphicFramePr>
        <xdr:cNvPr id="16" name="Chart 15">
          <a:extLst>
            <a:ext uri="{FF2B5EF4-FFF2-40B4-BE49-F238E27FC236}">
              <a16:creationId xmlns:a16="http://schemas.microsoft.com/office/drawing/2014/main" id="{00000000-0008-0000-06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33</xdr:row>
      <xdr:rowOff>19049</xdr:rowOff>
    </xdr:from>
    <xdr:to>
      <xdr:col>1</xdr:col>
      <xdr:colOff>514350</xdr:colOff>
      <xdr:row>33</xdr:row>
      <xdr:rowOff>180974</xdr:rowOff>
    </xdr:to>
    <xdr:sp macro="" textlink="">
      <xdr:nvSpPr>
        <xdr:cNvPr id="17" name="Rectangle: Rounded Corners 16">
          <a:extLst>
            <a:ext uri="{FF2B5EF4-FFF2-40B4-BE49-F238E27FC236}">
              <a16:creationId xmlns:a16="http://schemas.microsoft.com/office/drawing/2014/main" id="{00000000-0008-0000-0600-000011000000}"/>
            </a:ext>
          </a:extLst>
        </xdr:cNvPr>
        <xdr:cNvSpPr/>
      </xdr:nvSpPr>
      <xdr:spPr>
        <a:xfrm>
          <a:off x="0" y="6305549"/>
          <a:ext cx="1123950" cy="161925"/>
        </a:xfrm>
        <a:prstGeom prst="roundRect">
          <a:avLst>
            <a:gd name="adj" fmla="val 1252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r>
            <a:rPr lang="en-US" sz="900" b="1" i="0" u="none" strike="noStrike">
              <a:solidFill>
                <a:srgbClr val="000000"/>
              </a:solidFill>
              <a:latin typeface="Calibri"/>
              <a:ea typeface="+mn-ea"/>
              <a:cs typeface="Calibri"/>
            </a:rPr>
            <a:t>Select</a:t>
          </a:r>
          <a:r>
            <a:rPr lang="en-US" sz="900" b="1" i="0" u="none" strike="noStrike" baseline="0">
              <a:solidFill>
                <a:srgbClr val="000000"/>
              </a:solidFill>
              <a:latin typeface="Calibri"/>
              <a:ea typeface="+mn-ea"/>
              <a:cs typeface="Calibri"/>
            </a:rPr>
            <a:t> your Metrics</a:t>
          </a:r>
          <a:endParaRPr lang="en-IN" sz="1100">
            <a:solidFill>
              <a:schemeClr val="tx1"/>
            </a:solidFill>
            <a:latin typeface="+mn-lt"/>
            <a:ea typeface="+mn-ea"/>
            <a:cs typeface="+mn-cs"/>
          </a:endParaRPr>
        </a:p>
      </xdr:txBody>
    </xdr:sp>
    <xdr:clientData/>
  </xdr:twoCellAnchor>
  <xdr:twoCellAnchor>
    <xdr:from>
      <xdr:col>9</xdr:col>
      <xdr:colOff>180975</xdr:colOff>
      <xdr:row>38</xdr:row>
      <xdr:rowOff>180974</xdr:rowOff>
    </xdr:from>
    <xdr:to>
      <xdr:col>16</xdr:col>
      <xdr:colOff>247650</xdr:colOff>
      <xdr:row>53</xdr:row>
      <xdr:rowOff>152399</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438150</xdr:colOff>
      <xdr:row>17</xdr:row>
      <xdr:rowOff>38100</xdr:rowOff>
    </xdr:from>
    <xdr:to>
      <xdr:col>16</xdr:col>
      <xdr:colOff>190500</xdr:colOff>
      <xdr:row>31</xdr:row>
      <xdr:rowOff>114300</xdr:rowOff>
    </xdr:to>
    <xdr:graphicFrame macro="">
      <xdr:nvGraphicFramePr>
        <xdr:cNvPr id="30" name="Chart 29">
          <a:extLst>
            <a:ext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76202</xdr:colOff>
      <xdr:row>3</xdr:row>
      <xdr:rowOff>57151</xdr:rowOff>
    </xdr:from>
    <xdr:to>
      <xdr:col>1</xdr:col>
      <xdr:colOff>447676</xdr:colOff>
      <xdr:row>3</xdr:row>
      <xdr:rowOff>180975</xdr:rowOff>
    </xdr:to>
    <xdr:sp macro="" textlink="">
      <xdr:nvSpPr>
        <xdr:cNvPr id="44" name="Rectangle: Rounded Corners 43">
          <a:extLst>
            <a:ext uri="{FF2B5EF4-FFF2-40B4-BE49-F238E27FC236}">
              <a16:creationId xmlns:a16="http://schemas.microsoft.com/office/drawing/2014/main" id="{00000000-0008-0000-0600-00002C000000}"/>
            </a:ext>
          </a:extLst>
        </xdr:cNvPr>
        <xdr:cNvSpPr/>
      </xdr:nvSpPr>
      <xdr:spPr>
        <a:xfrm>
          <a:off x="76202" y="628651"/>
          <a:ext cx="981074" cy="123824"/>
        </a:xfrm>
        <a:prstGeom prst="roundRect">
          <a:avLst>
            <a:gd name="adj" fmla="val 12521"/>
          </a:avLst>
        </a:prstGeom>
        <a:solidFill>
          <a:srgbClr val="06202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r>
            <a:rPr lang="en-US" sz="900" b="0" i="0" u="none" strike="noStrike">
              <a:solidFill>
                <a:schemeClr val="bg1"/>
              </a:solidFill>
              <a:latin typeface="Calibri"/>
              <a:ea typeface="+mn-ea"/>
              <a:cs typeface="Calibri"/>
            </a:rPr>
            <a:t>Overal Summary</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0.3167</cdr:x>
      <cdr:y>0.02241</cdr:y>
    </cdr:from>
    <cdr:to>
      <cdr:x>0.75684</cdr:x>
      <cdr:y>0.09666</cdr:y>
    </cdr:to>
    <cdr:sp macro="" textlink="Dashboard_Data!$B$61">
      <cdr:nvSpPr>
        <cdr:cNvPr id="2" name="Rectangle: Rounded Corners 1">
          <a:extLst xmlns:a="http://schemas.openxmlformats.org/drawingml/2006/main">
            <a:ext uri="{FF2B5EF4-FFF2-40B4-BE49-F238E27FC236}">
              <a16:creationId xmlns:a16="http://schemas.microsoft.com/office/drawing/2014/main" id="{79817DBE-331C-48B2-84F5-E2F28AD050A7}"/>
            </a:ext>
          </a:extLst>
        </cdr:cNvPr>
        <cdr:cNvSpPr/>
      </cdr:nvSpPr>
      <cdr:spPr>
        <a:xfrm xmlns:a="http://schemas.openxmlformats.org/drawingml/2006/main">
          <a:off x="1752606" y="64037"/>
          <a:ext cx="2435746" cy="212169"/>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46BDE767-4DBC-4609-B311-79A578314E41}" type="TxLink">
            <a:rPr lang="en-US" sz="900" b="1" i="0" u="none" strike="noStrike">
              <a:solidFill>
                <a:schemeClr val="bg2">
                  <a:lumMod val="50000"/>
                </a:schemeClr>
              </a:solidFill>
              <a:latin typeface="+mn-lt"/>
              <a:ea typeface="+mn-ea"/>
              <a:cs typeface="Calibri"/>
            </a:rPr>
            <a:pPr marL="0" indent="0" algn="ctr"/>
            <a:t>BPL_Households_Pct </a:t>
          </a:fld>
          <a:endParaRPr lang="en-IN" sz="900">
            <a:solidFill>
              <a:schemeClr val="bg2">
                <a:lumMod val="50000"/>
              </a:schemeClr>
            </a:solidFill>
            <a:latin typeface="+mn-lt"/>
            <a:ea typeface="+mn-ea"/>
            <a:cs typeface="+mn-cs"/>
          </a:endParaRPr>
        </a:p>
      </cdr:txBody>
    </cdr:sp>
  </cdr:relSizeAnchor>
  <cdr:relSizeAnchor xmlns:cdr="http://schemas.openxmlformats.org/drawingml/2006/chartDrawing">
    <cdr:from>
      <cdr:x>0.07705</cdr:x>
      <cdr:y>0.07755</cdr:y>
    </cdr:from>
    <cdr:to>
      <cdr:x>0.31497</cdr:x>
      <cdr:y>0.14667</cdr:y>
    </cdr:to>
    <cdr:sp macro="" textlink="Dashboard_Data!$E$70">
      <cdr:nvSpPr>
        <cdr:cNvPr id="3" name="Rectangle: Rounded Corners 2">
          <a:extLst xmlns:a="http://schemas.openxmlformats.org/drawingml/2006/main">
            <a:ext uri="{FF2B5EF4-FFF2-40B4-BE49-F238E27FC236}">
              <a16:creationId xmlns:a16="http://schemas.microsoft.com/office/drawing/2014/main" id="{22175A52-B3B8-D0D5-EFC5-DBF24E86F5B0}"/>
            </a:ext>
          </a:extLst>
        </cdr:cNvPr>
        <cdr:cNvSpPr/>
      </cdr:nvSpPr>
      <cdr:spPr>
        <a:xfrm xmlns:a="http://schemas.openxmlformats.org/drawingml/2006/main">
          <a:off x="426410" y="221599"/>
          <a:ext cx="1316666" cy="197501"/>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horzOverflow="clip" wrap="square"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l"/>
          <a:fld id="{62EF647D-CB43-4735-AA18-23ACB977694B}" type="TxLink">
            <a:rPr lang="en-US" sz="800" b="0" i="0" u="none" strike="noStrike">
              <a:solidFill>
                <a:srgbClr val="077A7D"/>
              </a:solidFill>
              <a:latin typeface="Calibri"/>
              <a:ea typeface="+mn-ea"/>
              <a:cs typeface="Calibri"/>
            </a:rPr>
            <a:pPr marL="0" indent="0" algn="l"/>
            <a:t>Highlighted are bottom 5</a:t>
          </a:fld>
          <a:endParaRPr lang="en-IN" sz="1050">
            <a:solidFill>
              <a:srgbClr val="077A7D"/>
            </a:solidFill>
            <a:latin typeface="+mn-lt"/>
            <a:ea typeface="+mn-ea"/>
            <a:cs typeface="+mn-cs"/>
          </a:endParaRPr>
        </a:p>
      </cdr:txBody>
    </cdr:sp>
  </cdr:relSizeAnchor>
  <cdr:relSizeAnchor xmlns:cdr="http://schemas.openxmlformats.org/drawingml/2006/chartDrawing">
    <cdr:from>
      <cdr:x>0.44808</cdr:x>
      <cdr:y>0.09778</cdr:y>
    </cdr:from>
    <cdr:to>
      <cdr:x>0.6088</cdr:x>
      <cdr:y>0.14088</cdr:y>
    </cdr:to>
    <cdr:sp macro="" textlink="">
      <cdr:nvSpPr>
        <cdr:cNvPr id="4" name="Rectangle: Rounded Corners 3">
          <a:extLst xmlns:a="http://schemas.openxmlformats.org/drawingml/2006/main">
            <a:ext uri="{FF2B5EF4-FFF2-40B4-BE49-F238E27FC236}">
              <a16:creationId xmlns:a16="http://schemas.microsoft.com/office/drawing/2014/main" id="{46D786FA-D1A1-65FB-DDB0-76A3FB71FA48}"/>
            </a:ext>
          </a:extLst>
        </cdr:cNvPr>
        <cdr:cNvSpPr/>
      </cdr:nvSpPr>
      <cdr:spPr>
        <a:xfrm xmlns:a="http://schemas.openxmlformats.org/drawingml/2006/main">
          <a:off x="2479675" y="279400"/>
          <a:ext cx="889455" cy="123153"/>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r>
            <a:rPr lang="en-IN" sz="900" b="1" i="0" u="none" strike="noStrike">
              <a:solidFill>
                <a:schemeClr val="bg2">
                  <a:lumMod val="50000"/>
                </a:schemeClr>
              </a:solidFill>
              <a:latin typeface="+mn-lt"/>
              <a:ea typeface="+mn-ea"/>
              <a:cs typeface="Calibri"/>
            </a:rPr>
            <a:t>District Wise</a:t>
          </a:r>
        </a:p>
      </cdr:txBody>
    </cdr:sp>
  </cdr:relSizeAnchor>
</c:userShapes>
</file>

<file path=xl/drawings/drawing5.xml><?xml version="1.0" encoding="utf-8"?>
<c:userShapes xmlns:c="http://schemas.openxmlformats.org/drawingml/2006/chart">
  <cdr:relSizeAnchor xmlns:cdr="http://schemas.openxmlformats.org/drawingml/2006/chartDrawing">
    <cdr:from>
      <cdr:x>0.22175</cdr:x>
      <cdr:y>0.01775</cdr:y>
    </cdr:from>
    <cdr:to>
      <cdr:x>0.78875</cdr:x>
      <cdr:y>0.09201</cdr:y>
    </cdr:to>
    <cdr:sp macro="" textlink="Dashboard_Data!$B$88">
      <cdr:nvSpPr>
        <cdr:cNvPr id="2" name="Rectangle: Rounded Corners 1">
          <a:extLst xmlns:a="http://schemas.openxmlformats.org/drawingml/2006/main">
            <a:ext uri="{FF2B5EF4-FFF2-40B4-BE49-F238E27FC236}">
              <a16:creationId xmlns:a16="http://schemas.microsoft.com/office/drawing/2014/main" id="{75EDE2EA-244D-3DC9-86D0-905A257754AD}"/>
            </a:ext>
          </a:extLst>
        </cdr:cNvPr>
        <cdr:cNvSpPr/>
      </cdr:nvSpPr>
      <cdr:spPr>
        <a:xfrm xmlns:a="http://schemas.openxmlformats.org/drawingml/2006/main">
          <a:off x="961032" y="50395"/>
          <a:ext cx="2457308" cy="210783"/>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1FE6D589-BC56-49DA-8BEB-DF178CEC67DA}" type="TxLink">
            <a:rPr lang="en-US" sz="900" b="1" i="0" u="none" strike="noStrike">
              <a:solidFill>
                <a:schemeClr val="bg2">
                  <a:lumMod val="50000"/>
                </a:schemeClr>
              </a:solidFill>
              <a:latin typeface="+mn-lt"/>
              <a:ea typeface="+mn-ea"/>
              <a:cs typeface="Calibri"/>
            </a:rPr>
            <a:pPr marL="0" indent="0" algn="ctr"/>
            <a:t>BPL_Households_Pct </a:t>
          </a:fld>
          <a:endParaRPr lang="en-IN" sz="900" b="1" i="0" u="none" strike="noStrike">
            <a:solidFill>
              <a:schemeClr val="bg2">
                <a:lumMod val="50000"/>
              </a:schemeClr>
            </a:solidFill>
            <a:latin typeface="+mn-lt"/>
            <a:ea typeface="+mn-ea"/>
            <a:cs typeface="Calibri"/>
          </a:endParaRPr>
        </a:p>
      </cdr:txBody>
    </cdr:sp>
  </cdr:relSizeAnchor>
  <cdr:relSizeAnchor xmlns:cdr="http://schemas.openxmlformats.org/drawingml/2006/chartDrawing">
    <cdr:from>
      <cdr:x>0.40576</cdr:x>
      <cdr:y>0.08778</cdr:y>
    </cdr:from>
    <cdr:to>
      <cdr:x>0.61099</cdr:x>
      <cdr:y>0.13131</cdr:y>
    </cdr:to>
    <cdr:sp macro="" textlink="Dashboard_Data!$E$93">
      <cdr:nvSpPr>
        <cdr:cNvPr id="3" name="Rectangle: Rounded Corners 2">
          <a:extLst xmlns:a="http://schemas.openxmlformats.org/drawingml/2006/main">
            <a:ext uri="{FF2B5EF4-FFF2-40B4-BE49-F238E27FC236}">
              <a16:creationId xmlns:a16="http://schemas.microsoft.com/office/drawing/2014/main" id="{CB2D8EE8-CA51-52CC-9B63-F74190C26CC2}"/>
            </a:ext>
          </a:extLst>
        </cdr:cNvPr>
        <cdr:cNvSpPr/>
      </cdr:nvSpPr>
      <cdr:spPr>
        <a:xfrm xmlns:a="http://schemas.openxmlformats.org/drawingml/2006/main">
          <a:off x="1758495" y="248323"/>
          <a:ext cx="889455" cy="123153"/>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r>
            <a:rPr lang="en-IN" sz="900" b="1" i="0" u="none" strike="noStrike">
              <a:solidFill>
                <a:schemeClr val="bg2">
                  <a:lumMod val="50000"/>
                </a:schemeClr>
              </a:solidFill>
              <a:latin typeface="+mn-lt"/>
              <a:ea typeface="+mn-ea"/>
              <a:cs typeface="Calibri"/>
            </a:rPr>
            <a:t>Region Wise</a:t>
          </a:r>
        </a:p>
      </cdr:txBody>
    </cdr:sp>
  </cdr:relSizeAnchor>
  <cdr:relSizeAnchor xmlns:cdr="http://schemas.openxmlformats.org/drawingml/2006/chartDrawing">
    <cdr:from>
      <cdr:x>0.0651</cdr:x>
      <cdr:y>0.13829</cdr:y>
    </cdr:from>
    <cdr:to>
      <cdr:x>0.61425</cdr:x>
      <cdr:y>0.17718</cdr:y>
    </cdr:to>
    <cdr:sp macro="" textlink="Dashboard_Data!$E$93">
      <cdr:nvSpPr>
        <cdr:cNvPr id="4" name="Rectangle: Rounded Corners 3">
          <a:extLst xmlns:a="http://schemas.openxmlformats.org/drawingml/2006/main">
            <a:ext uri="{FF2B5EF4-FFF2-40B4-BE49-F238E27FC236}">
              <a16:creationId xmlns:a16="http://schemas.microsoft.com/office/drawing/2014/main" id="{4B479EFA-FA68-81C7-9AE6-9AB02F1A5224}"/>
            </a:ext>
          </a:extLst>
        </cdr:cNvPr>
        <cdr:cNvSpPr/>
      </cdr:nvSpPr>
      <cdr:spPr>
        <a:xfrm xmlns:a="http://schemas.openxmlformats.org/drawingml/2006/main">
          <a:off x="282120" y="391198"/>
          <a:ext cx="2379948" cy="110017"/>
        </a:xfrm>
        <a:prstGeom xmlns:a="http://schemas.openxmlformats.org/drawingml/2006/main" prst="roundRect">
          <a:avLst>
            <a:gd name="adj" fmla="val 12521"/>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horzOverflow="clip"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l"/>
          <a:fld id="{F8A8CAB5-0D1F-4BC2-97D9-47FEE30B0A24}" type="TxLink">
            <a:rPr lang="en-US" sz="800" b="0" i="0" u="none" strike="noStrike">
              <a:solidFill>
                <a:srgbClr val="077A7D"/>
              </a:solidFill>
              <a:latin typeface="Calibri"/>
              <a:ea typeface="+mn-ea"/>
              <a:cs typeface="Calibri"/>
            </a:rPr>
            <a:pPr marL="0" indent="0" algn="l"/>
            <a:t>Highlighted is the bottom performance</a:t>
          </a:fld>
          <a:endParaRPr lang="en-IN" sz="800" b="0" i="0" u="none" strike="noStrike">
            <a:solidFill>
              <a:srgbClr val="077A7D"/>
            </a:solidFill>
            <a:latin typeface="Calibri"/>
            <a:ea typeface="+mn-ea"/>
            <a:cs typeface="Calibri"/>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oanerjes Wann" refreshedDate="46193.626574768517" createdVersion="8" refreshedVersion="8" minRefreshableVersion="3" recordCount="59" xr:uid="{00000000-000A-0000-FFFF-FFFF36000000}">
  <cacheSource type="worksheet">
    <worksheetSource name="Table1"/>
  </cacheSource>
  <cacheFields count="31">
    <cacheField name="Constituency_ID" numFmtId="0">
      <sharedItems/>
    </cacheField>
    <cacheField name="Constituency_Name" numFmtId="0">
      <sharedItems/>
    </cacheField>
    <cacheField name="District" numFmtId="0">
      <sharedItems count="10">
        <s v="West Jaintia Hills"/>
        <s v="South West Garo Hills"/>
        <s v="East Garo Hills"/>
        <s v="East Khasi Hills"/>
        <s v="East Jaintia Hills"/>
        <s v="Ri Bhoi"/>
        <s v="West Garo Hills"/>
        <s v="North Garo Hills"/>
        <s v="West Khasi Hills"/>
        <s v="South Garo Hills"/>
      </sharedItems>
    </cacheField>
    <cacheField name="Region" numFmtId="0">
      <sharedItems count="4">
        <s v="Jaintia Hills"/>
        <s v="Garo Hills"/>
        <s v="Khasi Hills"/>
        <s v="Ri Bhoi"/>
      </sharedItems>
    </cacheField>
    <cacheField name="Electorate_2023" numFmtId="0">
      <sharedItems containsSemiMixedTypes="0" containsString="0" containsNumber="1" containsInteger="1" minValue="11305" maxValue="63978"/>
    </cacheField>
    <cacheField name="Voter_Turnout_2023_Pct" numFmtId="0">
      <sharedItems containsSemiMixedTypes="0" containsString="0" containsNumber="1" minValue="57.2" maxValue="91.1"/>
    </cacheField>
    <cacheField name="Total_Households" numFmtId="0">
      <sharedItems containsSemiMixedTypes="0" containsString="0" containsNumber="1" containsInteger="1" minValue="1629" maxValue="11211"/>
    </cacheField>
    <cacheField name="BPL_Households_Pct" numFmtId="0">
      <sharedItems containsSemiMixedTypes="0" containsString="0" containsNumber="1" minValue="12.6" maxValue="58"/>
    </cacheField>
    <cacheField name="BPL_Households_Count" numFmtId="0">
      <sharedItems containsSemiMixedTypes="0" containsString="0" containsNumber="1" containsInteger="1" minValue="491" maxValue="2892"/>
    </cacheField>
    <cacheField name="MGNREGS_Active_Job_Cards" numFmtId="0">
      <sharedItems containsSemiMixedTypes="0" containsString="0" containsNumber="1" containsInteger="1" minValue="120" maxValue="1987"/>
    </cacheField>
    <cacheField name="MGNREGS_Person_Days_FY2425" numFmtId="0">
      <sharedItems containsSemiMixedTypes="0" containsString="0" containsNumber="1" containsInteger="1" minValue="3203" maxValue="118557"/>
    </cacheField>
    <cacheField name="PM_Awas_Yojana_Sanctioned" numFmtId="0">
      <sharedItems containsSemiMixedTypes="0" containsString="0" containsNumber="1" containsInteger="1" minValue="89" maxValue="506"/>
    </cacheField>
    <cacheField name="PM_Awas_Yojana_Completed" numFmtId="0">
      <sharedItems containsSemiMixedTypes="0" containsString="0" containsNumber="1" containsInteger="1" minValue="52" maxValue="461"/>
    </cacheField>
    <cacheField name="PM_Awas_Completion_Pct" numFmtId="0">
      <sharedItems containsSemiMixedTypes="0" containsString="0" containsNumber="1" minValue="46.9" maxValue="91.2"/>
    </cacheField>
    <cacheField name="JJM_Functional_Tap_Connections_Pct" numFmtId="0">
      <sharedItems containsSemiMixedTypes="0" containsString="0" containsNumber="1" minValue="23.4" maxValue="92.1"/>
    </cacheField>
    <cacheField name="Road_Length_Km" numFmtId="0">
      <sharedItems containsSemiMixedTypes="0" containsString="0" containsNumber="1" minValue="37.5" maxValue="307.10000000000002"/>
    </cacheField>
    <cacheField name="Pucca_Road_Pct" numFmtId="0">
      <sharedItems containsSemiMixedTypes="0" containsString="0" containsNumber="1" minValue="28" maxValue="91.8"/>
    </cacheField>
    <cacheField name="Health_Sub_Centres" numFmtId="0">
      <sharedItems containsSemiMixedTypes="0" containsString="0" containsNumber="1" containsInteger="1" minValue="2" maxValue="18"/>
    </cacheField>
    <cacheField name="Primary_Health_Centres" numFmtId="0">
      <sharedItems containsSemiMixedTypes="0" containsString="0" containsNumber="1" containsInteger="1" minValue="1" maxValue="6"/>
    </cacheField>
    <cacheField name="Community_Health_Centres" numFmtId="0">
      <sharedItems containsSemiMixedTypes="0" containsString="0" containsNumber="1" containsInteger="1" minValue="0" maxValue="2"/>
    </cacheField>
    <cacheField name="Govt_Primary_Schools" numFmtId="0">
      <sharedItems containsSemiMixedTypes="0" containsString="0" containsNumber="1" containsInteger="1" minValue="8" maxValue="55"/>
    </cacheField>
    <cacheField name="Govt_Secondary_Schools" numFmtId="0">
      <sharedItems containsSemiMixedTypes="0" containsString="0" containsNumber="1" containsInteger="1" minValue="3" maxValue="22"/>
    </cacheField>
    <cacheField name="Literacy_Rate_Pct" numFmtId="0">
      <sharedItems containsSemiMixedTypes="0" containsString="0" containsNumber="1" minValue="58.7" maxValue="95.3"/>
    </cacheField>
    <cacheField name="PM_KISAN_Beneficiaries" numFmtId="0">
      <sharedItems containsSemiMixedTypes="0" containsString="0" containsNumber="1" containsInteger="1" minValue="176" maxValue="1634"/>
    </cacheField>
    <cacheField name="Internet_4G_Coverage_Pct" numFmtId="0">
      <sharedItems containsSemiMixedTypes="0" containsString="0" containsNumber="1" minValue="18.100000000000001" maxValue="96.9"/>
    </cacheField>
    <cacheField name="Constituency_Fund_Allocated_Lakhs" numFmtId="0">
      <sharedItems containsSemiMixedTypes="0" containsString="0" containsNumber="1" minValue="81.38" maxValue="198.13"/>
    </cacheField>
    <cacheField name="Constituency_Fund_Utilized_Pct" numFmtId="0">
      <sharedItems containsSemiMixedTypes="0" containsString="0" containsNumber="1" minValue="35.299999999999997" maxValue="96.3"/>
    </cacheField>
    <cacheField name="Primary_Occupation" numFmtId="0">
      <sharedItems count="6">
        <s v="Agriculture"/>
        <s v="Coal &amp; Limestone Mining"/>
        <s v="Horticulture"/>
        <s v="Agriculture &amp; Forestry"/>
        <s v="Government Employment"/>
        <s v="Trade &amp; Services"/>
      </sharedItems>
    </cacheField>
    <cacheField name="Derived_Col_Infrastructure_Index" numFmtId="2">
      <sharedItems containsSemiMixedTypes="0" containsString="0" containsNumber="1" minValue="27.399999999999995" maxValue="88.033333333333346"/>
    </cacheField>
    <cacheField name="Derived_Col_Welfare Dependency" numFmtId="164">
      <sharedItems containsSemiMixedTypes="0" containsString="0" containsNumber="1" minValue="6.3300739878314429" maxValue="30.260611171344816"/>
    </cacheField>
    <cacheField name="Derive_Col_Low Fund Utilisation Flag" numFmtId="164">
      <sharedItems/>
    </cacheField>
  </cacheFields>
  <extLst>
    <ext xmlns:x14="http://schemas.microsoft.com/office/spreadsheetml/2009/9/main" uri="{725AE2AE-9491-48be-B2B4-4EB974FC3084}">
      <x14:pivotCacheDefinition pivotCacheId="14775328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s v="MH031"/>
    <s v="Shangpung"/>
    <x v="0"/>
    <x v="0"/>
    <n v="20707"/>
    <n v="76.5"/>
    <n v="2825"/>
    <n v="44"/>
    <n v="1243"/>
    <n v="785"/>
    <n v="58067"/>
    <n v="195"/>
    <n v="151"/>
    <n v="77.8"/>
    <n v="29.1"/>
    <n v="288.39999999999998"/>
    <n v="49.6"/>
    <n v="2"/>
    <n v="5"/>
    <n v="1"/>
    <n v="38"/>
    <n v="18"/>
    <n v="69.5"/>
    <n v="1030"/>
    <n v="43.8"/>
    <n v="102.12"/>
    <n v="35.299999999999997"/>
    <x v="0"/>
    <n v="40.833333333333336"/>
    <n v="23.402110397450137"/>
    <s v="Low"/>
  </r>
  <r>
    <s v="MH055"/>
    <s v="Gambegre"/>
    <x v="1"/>
    <x v="1"/>
    <n v="12630"/>
    <n v="85.5"/>
    <n v="2061"/>
    <n v="42.6"/>
    <n v="877"/>
    <n v="598"/>
    <n v="27464"/>
    <n v="162"/>
    <n v="81"/>
    <n v="50.3"/>
    <n v="46.1"/>
    <n v="148"/>
    <n v="57.9"/>
    <n v="17"/>
    <n v="5"/>
    <n v="2"/>
    <n v="27"/>
    <n v="4"/>
    <n v="63.7"/>
    <n v="356"/>
    <n v="69"/>
    <n v="198.13"/>
    <n v="35.6"/>
    <x v="0"/>
    <n v="57.666666666666664"/>
    <n v="22.387252573238321"/>
    <s v="Low"/>
  </r>
  <r>
    <s v="MH050"/>
    <s v="Raksamgiri"/>
    <x v="2"/>
    <x v="1"/>
    <n v="25689"/>
    <n v="87.6"/>
    <n v="3250"/>
    <n v="43.1"/>
    <n v="1400"/>
    <n v="1167"/>
    <n v="42869"/>
    <n v="265"/>
    <n v="227"/>
    <n v="85.7"/>
    <n v="51.2"/>
    <n v="189.9"/>
    <n v="70.400000000000006"/>
    <n v="3"/>
    <n v="4"/>
    <n v="1"/>
    <n v="35"/>
    <n v="6"/>
    <n v="70.7"/>
    <n v="458"/>
    <n v="50.8"/>
    <n v="189.16"/>
    <n v="36.799999999999997"/>
    <x v="0"/>
    <n v="57.466666666666669"/>
    <n v="22.384384366849623"/>
    <s v="Low"/>
  </r>
  <r>
    <s v="MH054"/>
    <s v="Mahendraganj"/>
    <x v="1"/>
    <x v="1"/>
    <n v="22135"/>
    <n v="79"/>
    <n v="3159"/>
    <n v="47.7"/>
    <n v="1506"/>
    <n v="859"/>
    <n v="55524"/>
    <n v="325"/>
    <n v="160"/>
    <n v="49.3"/>
    <n v="51.7"/>
    <n v="170.3"/>
    <n v="48"/>
    <n v="7"/>
    <n v="3"/>
    <n v="1"/>
    <n v="54"/>
    <n v="13"/>
    <n v="78.2"/>
    <n v="422"/>
    <n v="26.5"/>
    <n v="148.11000000000001"/>
    <n v="37.5"/>
    <x v="1"/>
    <n v="42.06666666666667"/>
    <n v="25.10421278518184"/>
    <s v="Low"/>
  </r>
  <r>
    <s v="MH018"/>
    <s v="Sohra"/>
    <x v="3"/>
    <x v="2"/>
    <n v="21278"/>
    <n v="80.7"/>
    <n v="2355"/>
    <n v="55"/>
    <n v="1295"/>
    <n v="786"/>
    <n v="28905"/>
    <n v="182"/>
    <n v="126"/>
    <n v="69.400000000000006"/>
    <n v="67.2"/>
    <n v="244.8"/>
    <n v="69.400000000000006"/>
    <n v="8"/>
    <n v="3"/>
    <n v="1"/>
    <n v="12"/>
    <n v="13"/>
    <n v="74.2"/>
    <n v="833"/>
    <n v="45.4"/>
    <n v="159.61000000000001"/>
    <n v="40.1"/>
    <x v="2"/>
    <n v="60.666666666666664"/>
    <n v="28.179222671303695"/>
    <s v="Low"/>
  </r>
  <r>
    <s v="MH014"/>
    <s v="Mawkynroh-Umsning"/>
    <x v="3"/>
    <x v="2"/>
    <n v="14782"/>
    <n v="89.8"/>
    <n v="1774"/>
    <n v="36.5"/>
    <n v="647"/>
    <n v="396"/>
    <n v="19291"/>
    <n v="114"/>
    <n v="96"/>
    <n v="85.1"/>
    <n v="50.3"/>
    <n v="140.30000000000001"/>
    <n v="68"/>
    <n v="3"/>
    <n v="1"/>
    <n v="2"/>
    <n v="35"/>
    <n v="11"/>
    <n v="59.1"/>
    <n v="664"/>
    <n v="26.7"/>
    <n v="120.03"/>
    <n v="40.5"/>
    <x v="2"/>
    <n v="48.333333333333336"/>
    <n v="18.90251657421188"/>
    <s v="Low"/>
  </r>
  <r>
    <s v="MH037"/>
    <s v="Sutnga-Saipung"/>
    <x v="4"/>
    <x v="0"/>
    <n v="12691"/>
    <n v="76.099999999999994"/>
    <n v="2043"/>
    <n v="41.1"/>
    <n v="839"/>
    <n v="637"/>
    <n v="25388"/>
    <n v="181"/>
    <n v="133"/>
    <n v="73.599999999999994"/>
    <n v="35.4"/>
    <n v="118"/>
    <n v="52.2"/>
    <n v="15"/>
    <n v="1"/>
    <n v="0"/>
    <n v="15"/>
    <n v="17"/>
    <n v="82.6"/>
    <n v="740"/>
    <n v="33.799999999999997"/>
    <n v="157.72999999999999"/>
    <n v="42"/>
    <x v="3"/>
    <n v="40.466666666666669"/>
    <n v="21.55023638799149"/>
    <s v="Low"/>
  </r>
  <r>
    <s v="MH002"/>
    <s v="Pynthorumkhrah"/>
    <x v="3"/>
    <x v="2"/>
    <n v="59696"/>
    <n v="61.8"/>
    <n v="11016"/>
    <n v="18.7"/>
    <n v="2059"/>
    <n v="234"/>
    <n v="5245"/>
    <n v="409"/>
    <n v="300"/>
    <n v="73.400000000000006"/>
    <n v="88.6"/>
    <n v="78.8"/>
    <n v="83.4"/>
    <n v="6"/>
    <n v="1"/>
    <n v="2"/>
    <n v="26"/>
    <n v="22"/>
    <n v="94.4"/>
    <n v="281"/>
    <n v="83.4"/>
    <n v="123.4"/>
    <n v="44.5"/>
    <x v="4"/>
    <n v="85.13333333333334"/>
    <n v="9.3939309166443312"/>
    <s v="Low"/>
  </r>
  <r>
    <s v="MH025"/>
    <s v="Jirang"/>
    <x v="5"/>
    <x v="3"/>
    <n v="17935"/>
    <n v="81.099999999999994"/>
    <n v="3047"/>
    <n v="36.299999999999997"/>
    <n v="1106"/>
    <n v="923"/>
    <n v="47869"/>
    <n v="217"/>
    <n v="145"/>
    <n v="67.099999999999994"/>
    <n v="63.9"/>
    <n v="92.5"/>
    <n v="69.900000000000006"/>
    <n v="9"/>
    <n v="6"/>
    <n v="0"/>
    <n v="49"/>
    <n v="4"/>
    <n v="77.599999999999994"/>
    <n v="381"/>
    <n v="26.2"/>
    <n v="193.95"/>
    <n v="45"/>
    <x v="0"/>
    <n v="53.333333333333336"/>
    <n v="19.484513521048228"/>
    <s v="Low"/>
  </r>
  <r>
    <s v="MH029"/>
    <s v="Jowai"/>
    <x v="0"/>
    <x v="0"/>
    <n v="54304"/>
    <n v="60.6"/>
    <n v="8506"/>
    <n v="23.1"/>
    <n v="1964"/>
    <n v="348"/>
    <n v="8622"/>
    <n v="223"/>
    <n v="142"/>
    <n v="64.099999999999994"/>
    <n v="80.3"/>
    <n v="49.4"/>
    <n v="81.900000000000006"/>
    <n v="8"/>
    <n v="4"/>
    <n v="1"/>
    <n v="9"/>
    <n v="5"/>
    <n v="86.1"/>
    <n v="621"/>
    <n v="70.900000000000006"/>
    <n v="128.53"/>
    <n v="47.8"/>
    <x v="5"/>
    <n v="77.7"/>
    <n v="11.629386417206836"/>
    <s v="Low"/>
  </r>
  <r>
    <s v="MH017"/>
    <s v="Jaiaw"/>
    <x v="3"/>
    <x v="2"/>
    <n v="52000"/>
    <n v="71.400000000000006"/>
    <n v="6159"/>
    <n v="25.2"/>
    <n v="1552"/>
    <n v="247"/>
    <n v="6660"/>
    <n v="139"/>
    <n v="113"/>
    <n v="81.3"/>
    <n v="73.599999999999994"/>
    <n v="65.599999999999994"/>
    <n v="87"/>
    <n v="7"/>
    <n v="3"/>
    <n v="0"/>
    <n v="15"/>
    <n v="11"/>
    <n v="84.5"/>
    <n v="176"/>
    <n v="73.7"/>
    <n v="195.5"/>
    <n v="49.3"/>
    <x v="5"/>
    <n v="78.099999999999994"/>
    <n v="12.66403846153846"/>
    <s v="Low"/>
  </r>
  <r>
    <s v="MH060"/>
    <s v="Mawhati"/>
    <x v="4"/>
    <x v="0"/>
    <n v="32359"/>
    <n v="75.8"/>
    <n v="4528"/>
    <n v="56.7"/>
    <n v="2567"/>
    <n v="1758"/>
    <n v="118557"/>
    <n v="506"/>
    <n v="461"/>
    <n v="91.2"/>
    <n v="26.7"/>
    <n v="235.1"/>
    <n v="29.7"/>
    <n v="16"/>
    <n v="4"/>
    <n v="2"/>
    <n v="41"/>
    <n v="22"/>
    <n v="62.1"/>
    <n v="1024"/>
    <n v="36.299999999999997"/>
    <n v="124.74"/>
    <n v="50.4"/>
    <x v="1"/>
    <n v="30.900000000000002"/>
    <n v="30.181901480268241"/>
    <s v="Low"/>
  </r>
  <r>
    <s v="MH041"/>
    <s v="North Tura"/>
    <x v="6"/>
    <x v="1"/>
    <n v="63978"/>
    <n v="72.400000000000006"/>
    <n v="9366"/>
    <n v="24.6"/>
    <n v="2304"/>
    <n v="548"/>
    <n v="24624"/>
    <n v="425"/>
    <n v="277"/>
    <n v="65.400000000000006"/>
    <n v="65.2"/>
    <n v="73"/>
    <n v="91.8"/>
    <n v="6"/>
    <n v="2"/>
    <n v="2"/>
    <n v="27"/>
    <n v="3"/>
    <n v="82.6"/>
    <n v="468"/>
    <n v="61.3"/>
    <n v="175.54"/>
    <n v="51.1"/>
    <x v="5"/>
    <n v="72.766666666666666"/>
    <n v="12.492441151645879"/>
    <s v="Low"/>
  </r>
  <r>
    <s v="MH028"/>
    <s v="Phulbari"/>
    <x v="5"/>
    <x v="3"/>
    <n v="32314"/>
    <n v="77.400000000000006"/>
    <n v="4309"/>
    <n v="42.5"/>
    <n v="1831"/>
    <n v="1246"/>
    <n v="80044"/>
    <n v="215"/>
    <n v="182"/>
    <n v="85"/>
    <n v="68.5"/>
    <n v="100.8"/>
    <n v="66.8"/>
    <n v="9"/>
    <n v="4"/>
    <n v="2"/>
    <n v="47"/>
    <n v="15"/>
    <n v="66.7"/>
    <n v="1063"/>
    <n v="37.200000000000003"/>
    <n v="139.32"/>
    <n v="53.1"/>
    <x v="3"/>
    <n v="57.5"/>
    <n v="22.488534381382681"/>
    <s v="Low"/>
  </r>
  <r>
    <s v="MH045"/>
    <s v="Dalu"/>
    <x v="6"/>
    <x v="1"/>
    <n v="22988"/>
    <n v="82.6"/>
    <n v="3241"/>
    <n v="35.700000000000003"/>
    <n v="1157"/>
    <n v="922"/>
    <n v="50040"/>
    <n v="223"/>
    <n v="178"/>
    <n v="80.099999999999994"/>
    <n v="41"/>
    <n v="107.6"/>
    <n v="70.400000000000006"/>
    <n v="6"/>
    <n v="2"/>
    <n v="2"/>
    <n v="54"/>
    <n v="15"/>
    <n v="83.1"/>
    <n v="1055"/>
    <n v="18.8"/>
    <n v="176.55"/>
    <n v="55.8"/>
    <x v="1"/>
    <n v="43.4"/>
    <n v="18.938393944666785"/>
    <s v="Low"/>
  </r>
  <r>
    <s v="MH026"/>
    <s v="Umsning"/>
    <x v="5"/>
    <x v="3"/>
    <n v="26517"/>
    <n v="85.4"/>
    <n v="3429"/>
    <n v="49"/>
    <n v="1680"/>
    <n v="1310"/>
    <n v="54642"/>
    <n v="277"/>
    <n v="222"/>
    <n v="80.2"/>
    <n v="28.4"/>
    <n v="276.60000000000002"/>
    <n v="70.400000000000006"/>
    <n v="5"/>
    <n v="5"/>
    <n v="0"/>
    <n v="27"/>
    <n v="21"/>
    <n v="75.599999999999994"/>
    <n v="1048"/>
    <n v="22.1"/>
    <n v="194.98"/>
    <n v="57.8"/>
    <x v="0"/>
    <n v="40.300000000000004"/>
    <n v="25.530320171965155"/>
    <s v="Low"/>
  </r>
  <r>
    <s v="MH046"/>
    <s v="Resubelpara"/>
    <x v="7"/>
    <x v="1"/>
    <n v="15049"/>
    <n v="81.099999999999994"/>
    <n v="2172"/>
    <n v="45.5"/>
    <n v="988"/>
    <n v="787"/>
    <n v="57145"/>
    <n v="94"/>
    <n v="52"/>
    <n v="56"/>
    <n v="23.4"/>
    <n v="292.2"/>
    <n v="52.7"/>
    <n v="9"/>
    <n v="6"/>
    <n v="0"/>
    <n v="48"/>
    <n v="17"/>
    <n v="81.599999999999994"/>
    <n v="339"/>
    <n v="69.099999999999994"/>
    <n v="116.26"/>
    <n v="58.5"/>
    <x v="3"/>
    <n v="48.4"/>
    <n v="24.648631138281612"/>
    <s v="Low"/>
  </r>
  <r>
    <s v="MH051"/>
    <s v="Songsak"/>
    <x v="2"/>
    <x v="1"/>
    <n v="15135"/>
    <n v="77.5"/>
    <n v="2130"/>
    <n v="37.799999999999997"/>
    <n v="805"/>
    <n v="682"/>
    <n v="38343"/>
    <n v="115"/>
    <n v="84"/>
    <n v="73.5"/>
    <n v="27.6"/>
    <n v="248.4"/>
    <n v="65.5"/>
    <n v="8"/>
    <n v="4"/>
    <n v="1"/>
    <n v="22"/>
    <n v="16"/>
    <n v="66.8"/>
    <n v="308"/>
    <n v="41"/>
    <n v="134.41999999999999"/>
    <n v="59"/>
    <x v="3"/>
    <n v="44.699999999999996"/>
    <n v="20.166699702675917"/>
    <s v="Low"/>
  </r>
  <r>
    <s v="MH052"/>
    <s v="Rongjeng"/>
    <x v="2"/>
    <x v="1"/>
    <n v="23265"/>
    <n v="91.1"/>
    <n v="3150"/>
    <n v="30.7"/>
    <n v="967"/>
    <n v="556"/>
    <n v="29064"/>
    <n v="178"/>
    <n v="111"/>
    <n v="62.5"/>
    <n v="29.3"/>
    <n v="94.4"/>
    <n v="70.099999999999994"/>
    <n v="12"/>
    <n v="6"/>
    <n v="0"/>
    <n v="34"/>
    <n v="14"/>
    <n v="80.7"/>
    <n v="1128"/>
    <n v="20.8"/>
    <n v="192.94"/>
    <n v="59.5"/>
    <x v="3"/>
    <n v="40.066666666666663"/>
    <n v="15.974629271437781"/>
    <s v="Low"/>
  </r>
  <r>
    <s v="MH032"/>
    <s v="Mowkaiaw"/>
    <x v="0"/>
    <x v="0"/>
    <n v="24130"/>
    <n v="81.8"/>
    <n v="3599"/>
    <n v="32.6"/>
    <n v="1173"/>
    <n v="930"/>
    <n v="67857"/>
    <n v="107"/>
    <n v="60"/>
    <n v="56.7"/>
    <n v="53.3"/>
    <n v="179.9"/>
    <n v="54.2"/>
    <n v="9"/>
    <n v="5"/>
    <n v="1"/>
    <n v="36"/>
    <n v="17"/>
    <n v="65.7"/>
    <n v="963"/>
    <n v="21.3"/>
    <n v="150.62"/>
    <n v="59.9"/>
    <x v="0"/>
    <n v="42.933333333333337"/>
    <n v="17.706071280563613"/>
    <s v="Low"/>
  </r>
  <r>
    <s v="MH019"/>
    <s v="Nongstoin"/>
    <x v="8"/>
    <x v="2"/>
    <n v="21688"/>
    <n v="80"/>
    <n v="2961"/>
    <n v="40.6"/>
    <n v="1202"/>
    <n v="1000"/>
    <n v="62092"/>
    <n v="248"/>
    <n v="183"/>
    <n v="73.900000000000006"/>
    <n v="38.9"/>
    <n v="211.5"/>
    <n v="28"/>
    <n v="11"/>
    <n v="2"/>
    <n v="1"/>
    <n v="45"/>
    <n v="22"/>
    <n v="75"/>
    <n v="519"/>
    <n v="43.6"/>
    <n v="135.80000000000001"/>
    <n v="60.7"/>
    <x v="0"/>
    <n v="36.833333333333336"/>
    <n v="21.731482847657691"/>
    <s v="High"/>
  </r>
  <r>
    <s v="MH042"/>
    <s v="South Tura"/>
    <x v="6"/>
    <x v="1"/>
    <n v="59004"/>
    <n v="66.3"/>
    <n v="7018"/>
    <n v="13.6"/>
    <n v="954"/>
    <n v="220"/>
    <n v="7808"/>
    <n v="108"/>
    <n v="94"/>
    <n v="87.9"/>
    <n v="66.7"/>
    <n v="62.7"/>
    <n v="76.3"/>
    <n v="5"/>
    <n v="6"/>
    <n v="0"/>
    <n v="37"/>
    <n v="12"/>
    <n v="91.5"/>
    <n v="334"/>
    <n v="80.3"/>
    <n v="98.96"/>
    <n v="60.7"/>
    <x v="5"/>
    <n v="74.433333333333337"/>
    <n v="6.8661650057623209"/>
    <s v="High"/>
  </r>
  <r>
    <s v="MH047"/>
    <s v="Bajengdoba"/>
    <x v="7"/>
    <x v="1"/>
    <n v="27142"/>
    <n v="74.3"/>
    <n v="4322"/>
    <n v="39.700000000000003"/>
    <n v="1715"/>
    <n v="1134"/>
    <n v="82753"/>
    <n v="304"/>
    <n v="213"/>
    <n v="70.400000000000006"/>
    <n v="54.9"/>
    <n v="254.4"/>
    <n v="67"/>
    <n v="5"/>
    <n v="4"/>
    <n v="2"/>
    <n v="34"/>
    <n v="11"/>
    <n v="58.9"/>
    <n v="1586"/>
    <n v="64.2"/>
    <n v="124.46"/>
    <n v="60.8"/>
    <x v="0"/>
    <n v="62.033333333333331"/>
    <n v="21.374445508805543"/>
    <s v="High"/>
  </r>
  <r>
    <s v="MH016"/>
    <s v="Nongmynsong"/>
    <x v="3"/>
    <x v="2"/>
    <n v="16064"/>
    <n v="90.5"/>
    <n v="2264"/>
    <n v="52"/>
    <n v="1177"/>
    <n v="709"/>
    <n v="36507"/>
    <n v="123"/>
    <n v="108"/>
    <n v="88.5"/>
    <n v="65.8"/>
    <n v="178.8"/>
    <n v="57.5"/>
    <n v="9"/>
    <n v="3"/>
    <n v="0"/>
    <n v="52"/>
    <n v="6"/>
    <n v="67.900000000000006"/>
    <n v="389"/>
    <n v="67.599999999999994"/>
    <n v="84.65"/>
    <n v="62.6"/>
    <x v="3"/>
    <n v="63.633333333333326"/>
    <n v="27.136298555776893"/>
    <s v="High"/>
  </r>
  <r>
    <s v="MH057"/>
    <s v="Chokpot"/>
    <x v="9"/>
    <x v="1"/>
    <n v="24272"/>
    <n v="72.400000000000006"/>
    <n v="4051"/>
    <n v="46.5"/>
    <n v="1883"/>
    <n v="1505"/>
    <n v="108045"/>
    <n v="173"/>
    <n v="146"/>
    <n v="84.7"/>
    <n v="35.6"/>
    <n v="221.3"/>
    <n v="51.1"/>
    <n v="14"/>
    <n v="3"/>
    <n v="2"/>
    <n v="29"/>
    <n v="10"/>
    <n v="66.7"/>
    <n v="606"/>
    <n v="45.5"/>
    <n v="100.18"/>
    <n v="65.2"/>
    <x v="3"/>
    <n v="44.066666666666663"/>
    <n v="25.475712755438366"/>
    <s v="High"/>
  </r>
  <r>
    <s v="MH036"/>
    <s v="Khliehriat"/>
    <x v="4"/>
    <x v="0"/>
    <n v="21921"/>
    <n v="78.400000000000006"/>
    <n v="3233"/>
    <n v="40.299999999999997"/>
    <n v="1302"/>
    <n v="909"/>
    <n v="55906"/>
    <n v="177"/>
    <n v="142"/>
    <n v="80.7"/>
    <n v="24.1"/>
    <n v="101.1"/>
    <n v="39.1"/>
    <n v="5"/>
    <n v="4"/>
    <n v="2"/>
    <n v="8"/>
    <n v="20"/>
    <n v="70"/>
    <n v="911"/>
    <n v="44.9"/>
    <n v="86.5"/>
    <n v="65.7"/>
    <x v="2"/>
    <n v="36.033333333333331"/>
    <n v="21.425169928379177"/>
    <s v="High"/>
  </r>
  <r>
    <s v="MH007"/>
    <s v="Shillong South"/>
    <x v="3"/>
    <x v="2"/>
    <n v="53243"/>
    <n v="64.8"/>
    <n v="8378"/>
    <n v="31.7"/>
    <n v="2655"/>
    <n v="586"/>
    <n v="15227"/>
    <n v="301"/>
    <n v="215"/>
    <n v="71.7"/>
    <n v="64.599999999999994"/>
    <n v="78.900000000000006"/>
    <n v="90.4"/>
    <n v="7"/>
    <n v="2"/>
    <n v="0"/>
    <n v="50"/>
    <n v="18"/>
    <n v="95.3"/>
    <n v="574"/>
    <n v="96.5"/>
    <n v="99.82"/>
    <n v="66.3"/>
    <x v="5"/>
    <n v="83.833333333333329"/>
    <n v="15.992995323328888"/>
    <s v="High"/>
  </r>
  <r>
    <s v="MH004"/>
    <s v="Shillong East"/>
    <x v="3"/>
    <x v="2"/>
    <n v="53252"/>
    <n v="71.900000000000006"/>
    <n v="6493"/>
    <n v="12.6"/>
    <n v="818"/>
    <n v="120"/>
    <n v="3203"/>
    <n v="89"/>
    <n v="79"/>
    <n v="89.3"/>
    <n v="90.9"/>
    <n v="53.9"/>
    <n v="86.4"/>
    <n v="6"/>
    <n v="6"/>
    <n v="1"/>
    <n v="17"/>
    <n v="11"/>
    <n v="84"/>
    <n v="517"/>
    <n v="73.400000000000006"/>
    <n v="169.4"/>
    <n v="67"/>
    <x v="5"/>
    <n v="83.566666666666677"/>
    <n v="6.3300739878314429"/>
    <s v="High"/>
  </r>
  <r>
    <s v="MH015"/>
    <s v="Shillong Cantonment"/>
    <x v="3"/>
    <x v="2"/>
    <n v="60028"/>
    <n v="66.2"/>
    <n v="11211"/>
    <n v="25.8"/>
    <n v="2892"/>
    <n v="353"/>
    <n v="7377"/>
    <n v="380"/>
    <n v="269"/>
    <n v="71"/>
    <n v="76.2"/>
    <n v="37.5"/>
    <n v="79.099999999999994"/>
    <n v="3"/>
    <n v="3"/>
    <n v="0"/>
    <n v="51"/>
    <n v="10"/>
    <n v="91.3"/>
    <n v="1008"/>
    <n v="96.9"/>
    <n v="122.44"/>
    <n v="68.400000000000006"/>
    <x v="5"/>
    <n v="84.066666666666663"/>
    <n v="12.961446325048311"/>
    <s v="High"/>
  </r>
  <r>
    <s v="MH056"/>
    <s v="Baghmara"/>
    <x v="9"/>
    <x v="1"/>
    <n v="19372"/>
    <n v="77.8"/>
    <n v="3170"/>
    <n v="40.9"/>
    <n v="1296"/>
    <n v="763"/>
    <n v="42959"/>
    <n v="145"/>
    <n v="103"/>
    <n v="71.3"/>
    <n v="59.4"/>
    <n v="165"/>
    <n v="45.5"/>
    <n v="3"/>
    <n v="4"/>
    <n v="0"/>
    <n v="37"/>
    <n v="5"/>
    <n v="80.400000000000006"/>
    <n v="965"/>
    <n v="40.6"/>
    <n v="149.09"/>
    <n v="69.3"/>
    <x v="0"/>
    <n v="48.5"/>
    <n v="21.55879103861243"/>
    <s v="High"/>
  </r>
  <r>
    <s v="MH038"/>
    <s v="Laskein"/>
    <x v="4"/>
    <x v="0"/>
    <n v="24614"/>
    <n v="88.7"/>
    <n v="2849"/>
    <n v="44.5"/>
    <n v="1267"/>
    <n v="842"/>
    <n v="60518"/>
    <n v="191"/>
    <n v="164"/>
    <n v="86.3"/>
    <n v="70.400000000000006"/>
    <n v="146.30000000000001"/>
    <n v="62.8"/>
    <n v="15"/>
    <n v="3"/>
    <n v="2"/>
    <n v="25"/>
    <n v="3"/>
    <n v="65.400000000000006"/>
    <n v="1081"/>
    <n v="44.4"/>
    <n v="115.83"/>
    <n v="70.2"/>
    <x v="0"/>
    <n v="59.199999999999996"/>
    <n v="23.479341025432682"/>
    <s v="High"/>
  </r>
  <r>
    <s v="MH034"/>
    <s v="Nartiang"/>
    <x v="0"/>
    <x v="0"/>
    <n v="14760"/>
    <n v="82.9"/>
    <n v="2294"/>
    <n v="52.8"/>
    <n v="1211"/>
    <n v="691"/>
    <n v="28771"/>
    <n v="149"/>
    <n v="119"/>
    <n v="80.2"/>
    <n v="53.9"/>
    <n v="149.30000000000001"/>
    <n v="33.5"/>
    <n v="11"/>
    <n v="6"/>
    <n v="1"/>
    <n v="25"/>
    <n v="19"/>
    <n v="72"/>
    <n v="805"/>
    <n v="57.7"/>
    <n v="132.53"/>
    <n v="70.900000000000006"/>
    <x v="1"/>
    <n v="48.366666666666667"/>
    <n v="27.374627371273711"/>
    <s v="High"/>
  </r>
  <r>
    <s v="MH033"/>
    <s v="Amlarem"/>
    <x v="0"/>
    <x v="0"/>
    <n v="17808"/>
    <n v="84.5"/>
    <n v="2417"/>
    <n v="35.200000000000003"/>
    <n v="850"/>
    <n v="608"/>
    <n v="25086"/>
    <n v="116"/>
    <n v="89"/>
    <n v="77.400000000000006"/>
    <n v="48.3"/>
    <n v="87.8"/>
    <n v="40.700000000000003"/>
    <n v="11"/>
    <n v="6"/>
    <n v="1"/>
    <n v="12"/>
    <n v="10"/>
    <n v="82"/>
    <n v="705"/>
    <n v="68.400000000000006"/>
    <n v="174.54"/>
    <n v="72.599999999999994"/>
    <x v="2"/>
    <n v="52.466666666666669"/>
    <n v="18.304346361185985"/>
    <s v="High"/>
  </r>
  <r>
    <s v="MH058"/>
    <s v="Phulbari (SGH)"/>
    <x v="9"/>
    <x v="1"/>
    <n v="22504"/>
    <n v="86.5"/>
    <n v="3243"/>
    <n v="35.1"/>
    <n v="1138"/>
    <n v="675"/>
    <n v="28951"/>
    <n v="187"/>
    <n v="150"/>
    <n v="80.7"/>
    <n v="58.7"/>
    <n v="122.5"/>
    <n v="62"/>
    <n v="17"/>
    <n v="4"/>
    <n v="2"/>
    <n v="45"/>
    <n v="17"/>
    <n v="75.7"/>
    <n v="1220"/>
    <n v="35.5"/>
    <n v="185.85"/>
    <n v="73.8"/>
    <x v="3"/>
    <n v="52.066666666666663"/>
    <n v="18.193241201564167"/>
    <s v="High"/>
  </r>
  <r>
    <s v="MH012"/>
    <s v="Sohiong"/>
    <x v="3"/>
    <x v="2"/>
    <n v="17089"/>
    <n v="73.400000000000006"/>
    <n v="3169"/>
    <n v="40.1"/>
    <n v="1270"/>
    <n v="1057"/>
    <n v="61080"/>
    <n v="204"/>
    <n v="95"/>
    <n v="46.9"/>
    <n v="26.6"/>
    <n v="237.8"/>
    <n v="52.9"/>
    <n v="12"/>
    <n v="3"/>
    <n v="0"/>
    <n v="50"/>
    <n v="13"/>
    <n v="64.2"/>
    <n v="627"/>
    <n v="35.1"/>
    <n v="127.49"/>
    <n v="75.7"/>
    <x v="0"/>
    <n v="38.199999999999996"/>
    <n v="21.837114518111065"/>
    <s v="High"/>
  </r>
  <r>
    <s v="MH020"/>
    <s v="Ranikor"/>
    <x v="8"/>
    <x v="2"/>
    <n v="32589"/>
    <n v="73.7"/>
    <n v="4876"/>
    <n v="38.1"/>
    <n v="1857"/>
    <n v="1477"/>
    <n v="96072"/>
    <n v="323"/>
    <n v="179"/>
    <n v="55.6"/>
    <n v="33.200000000000003"/>
    <n v="85.9"/>
    <n v="38.799999999999997"/>
    <n v="17"/>
    <n v="5"/>
    <n v="0"/>
    <n v="37"/>
    <n v="16"/>
    <n v="81"/>
    <n v="1071"/>
    <n v="39.6"/>
    <n v="149.08000000000001"/>
    <n v="78.7"/>
    <x v="0"/>
    <n v="37.200000000000003"/>
    <n v="20.523994292552704"/>
    <s v="High"/>
  </r>
  <r>
    <s v="MH005"/>
    <s v="Shillong West"/>
    <x v="3"/>
    <x v="2"/>
    <n v="58175"/>
    <n v="62.2"/>
    <n v="6467"/>
    <n v="21.9"/>
    <n v="1416"/>
    <n v="302"/>
    <n v="12541"/>
    <n v="143"/>
    <n v="75"/>
    <n v="52.5"/>
    <n v="84.5"/>
    <n v="70.8"/>
    <n v="79.599999999999994"/>
    <n v="7"/>
    <n v="4"/>
    <n v="2"/>
    <n v="24"/>
    <n v="20"/>
    <n v="94.1"/>
    <n v="482"/>
    <n v="78.099999999999994"/>
    <n v="81.38"/>
    <n v="78.8"/>
    <x v="4"/>
    <n v="80.733333333333334"/>
    <n v="11.057786850021486"/>
    <s v="High"/>
  </r>
  <r>
    <s v="MH049"/>
    <s v="Williamnagar"/>
    <x v="2"/>
    <x v="1"/>
    <n v="21766"/>
    <n v="87.5"/>
    <n v="2970"/>
    <n v="36.299999999999997"/>
    <n v="1078"/>
    <n v="911"/>
    <n v="67870"/>
    <n v="167"/>
    <n v="137"/>
    <n v="82.5"/>
    <n v="28.2"/>
    <n v="287.89999999999998"/>
    <n v="33.799999999999997"/>
    <n v="13"/>
    <n v="2"/>
    <n v="2"/>
    <n v="28"/>
    <n v="3"/>
    <n v="62.5"/>
    <n v="762"/>
    <n v="58.3"/>
    <n v="86.29"/>
    <n v="80.2"/>
    <x v="2"/>
    <n v="40.1"/>
    <n v="19.709082973444822"/>
    <s v="High"/>
  </r>
  <r>
    <s v="MH044"/>
    <s v="Selsella"/>
    <x v="6"/>
    <x v="1"/>
    <n v="30892"/>
    <n v="88"/>
    <n v="4423"/>
    <n v="35.5"/>
    <n v="1570"/>
    <n v="1219"/>
    <n v="80086"/>
    <n v="275"/>
    <n v="141"/>
    <n v="51.4"/>
    <n v="27.4"/>
    <n v="230.6"/>
    <n v="29.7"/>
    <n v="16"/>
    <n v="1"/>
    <n v="2"/>
    <n v="31"/>
    <n v="7"/>
    <n v="60.3"/>
    <n v="732"/>
    <n v="25.1"/>
    <n v="115.41"/>
    <n v="80.599999999999994"/>
    <x v="1"/>
    <n v="27.399999999999995"/>
    <n v="19.046225560015539"/>
    <s v="High"/>
  </r>
  <r>
    <s v="MH030"/>
    <s v="Raliang"/>
    <x v="0"/>
    <x v="0"/>
    <n v="28397"/>
    <n v="78.900000000000006"/>
    <n v="3607"/>
    <n v="38.6"/>
    <n v="1392"/>
    <n v="955"/>
    <n v="45137"/>
    <n v="156"/>
    <n v="123"/>
    <n v="78.900000000000006"/>
    <n v="39.700000000000003"/>
    <n v="258.3"/>
    <n v="69.8"/>
    <n v="7"/>
    <n v="2"/>
    <n v="0"/>
    <n v="55"/>
    <n v="18"/>
    <n v="65.2"/>
    <n v="992"/>
    <n v="70.900000000000006"/>
    <n v="150.75"/>
    <n v="81.400000000000006"/>
    <x v="0"/>
    <n v="60.133333333333326"/>
    <n v="20.094749445363949"/>
    <s v="High"/>
  </r>
  <r>
    <s v="MH059"/>
    <s v="Kharkutta"/>
    <x v="7"/>
    <x v="1"/>
    <n v="15946"/>
    <n v="80.8"/>
    <n v="2419"/>
    <n v="51.9"/>
    <n v="1255"/>
    <n v="912"/>
    <n v="44758"/>
    <n v="113"/>
    <n v="75"/>
    <n v="66.7"/>
    <n v="24.1"/>
    <n v="168.5"/>
    <n v="40.6"/>
    <n v="4"/>
    <n v="5"/>
    <n v="2"/>
    <n v="40"/>
    <n v="15"/>
    <n v="70"/>
    <n v="853"/>
    <n v="42.3"/>
    <n v="146.52000000000001"/>
    <n v="83.5"/>
    <x v="1"/>
    <n v="35.666666666666664"/>
    <n v="27.353424056189638"/>
    <s v="High"/>
  </r>
  <r>
    <s v="MH009"/>
    <s v="Mawphlang"/>
    <x v="3"/>
    <x v="2"/>
    <n v="26906"/>
    <n v="76.3"/>
    <n v="4976"/>
    <n v="45.1"/>
    <n v="2244"/>
    <n v="1552"/>
    <n v="103029"/>
    <n v="433"/>
    <n v="233"/>
    <n v="53.9"/>
    <n v="27.4"/>
    <n v="183.5"/>
    <n v="46.6"/>
    <n v="16"/>
    <n v="6"/>
    <n v="0"/>
    <n v="51"/>
    <n v="6"/>
    <n v="59.6"/>
    <n v="738"/>
    <n v="28.3"/>
    <n v="167.39"/>
    <n v="84"/>
    <x v="1"/>
    <n v="34.1"/>
    <n v="24.464610124135881"/>
    <s v="High"/>
  </r>
  <r>
    <s v="MH035"/>
    <s v="Mynso"/>
    <x v="4"/>
    <x v="0"/>
    <n v="19204"/>
    <n v="72.5"/>
    <n v="3191"/>
    <n v="53.8"/>
    <n v="1716"/>
    <n v="1246"/>
    <n v="44643"/>
    <n v="321"/>
    <n v="268"/>
    <n v="83.6"/>
    <n v="54.3"/>
    <n v="263.10000000000002"/>
    <n v="35.700000000000003"/>
    <n v="18"/>
    <n v="6"/>
    <n v="1"/>
    <n v="25"/>
    <n v="8"/>
    <n v="83.9"/>
    <n v="1186"/>
    <n v="43.4"/>
    <n v="132.31"/>
    <n v="84.9"/>
    <x v="2"/>
    <n v="44.466666666666661"/>
    <n v="28.062335971672567"/>
    <s v="High"/>
  </r>
  <r>
    <s v="MH039"/>
    <s v="Tura"/>
    <x v="6"/>
    <x v="1"/>
    <n v="61264"/>
    <n v="65.8"/>
    <n v="9445"/>
    <n v="22.9"/>
    <n v="2162"/>
    <n v="363"/>
    <n v="10180"/>
    <n v="230"/>
    <n v="178"/>
    <n v="77.8"/>
    <n v="80.900000000000006"/>
    <n v="49"/>
    <n v="89.4"/>
    <n v="3"/>
    <n v="3"/>
    <n v="2"/>
    <n v="38"/>
    <n v="15"/>
    <n v="87.4"/>
    <n v="930"/>
    <n v="76.3"/>
    <n v="159.63999999999999"/>
    <n v="85.3"/>
    <x v="5"/>
    <n v="82.2"/>
    <n v="11.533083050404805"/>
    <s v="High"/>
  </r>
  <r>
    <s v="MH027"/>
    <s v="Umroi"/>
    <x v="5"/>
    <x v="3"/>
    <n v="14339"/>
    <n v="85.9"/>
    <n v="2332"/>
    <n v="52.2"/>
    <n v="1217"/>
    <n v="960"/>
    <n v="55331"/>
    <n v="104"/>
    <n v="72"/>
    <n v="70"/>
    <n v="59"/>
    <n v="96.5"/>
    <n v="56.5"/>
    <n v="2"/>
    <n v="4"/>
    <n v="1"/>
    <n v="14"/>
    <n v="16"/>
    <n v="83"/>
    <n v="708"/>
    <n v="41.5"/>
    <n v="156.27000000000001"/>
    <n v="85.9"/>
    <x v="1"/>
    <n v="52.333333333333336"/>
    <n v="28.029388381337611"/>
    <s v="High"/>
  </r>
  <r>
    <s v="MH048"/>
    <s v="Mendipathar"/>
    <x v="7"/>
    <x v="1"/>
    <n v="33468"/>
    <n v="79.3"/>
    <n v="4488"/>
    <n v="29.8"/>
    <n v="1337"/>
    <n v="846"/>
    <n v="62374"/>
    <n v="284"/>
    <n v="237"/>
    <n v="83.7"/>
    <n v="27.1"/>
    <n v="130.9"/>
    <n v="56.1"/>
    <n v="2"/>
    <n v="1"/>
    <n v="1"/>
    <n v="23"/>
    <n v="7"/>
    <n v="78.5"/>
    <n v="1185"/>
    <n v="49.7"/>
    <n v="104.62"/>
    <n v="85.9"/>
    <x v="0"/>
    <n v="44.300000000000004"/>
    <n v="15.831845344806981"/>
    <s v="High"/>
  </r>
  <r>
    <s v="MH053"/>
    <s v="Ampati"/>
    <x v="1"/>
    <x v="1"/>
    <n v="30674"/>
    <n v="78.2"/>
    <n v="5065"/>
    <n v="32.6"/>
    <n v="1651"/>
    <n v="1146"/>
    <n v="78949"/>
    <n v="213"/>
    <n v="151"/>
    <n v="71.099999999999994"/>
    <n v="28.4"/>
    <n v="146.9"/>
    <n v="38"/>
    <n v="15"/>
    <n v="5"/>
    <n v="2"/>
    <n v="47"/>
    <n v="20"/>
    <n v="58.7"/>
    <n v="960"/>
    <n v="27.7"/>
    <n v="191.49"/>
    <n v="85.9"/>
    <x v="3"/>
    <n v="31.366666666666664"/>
    <n v="17.586904218556434"/>
    <s v="High"/>
  </r>
  <r>
    <s v="MH043"/>
    <s v="Rajabala"/>
    <x v="6"/>
    <x v="1"/>
    <n v="24903"/>
    <n v="85.8"/>
    <n v="3424"/>
    <n v="58"/>
    <n v="1985"/>
    <n v="1599"/>
    <n v="62786"/>
    <n v="264"/>
    <n v="163"/>
    <n v="61.9"/>
    <n v="38.6"/>
    <n v="247.8"/>
    <n v="29"/>
    <n v="14"/>
    <n v="3"/>
    <n v="0"/>
    <n v="44"/>
    <n v="4"/>
    <n v="81.7"/>
    <n v="1214"/>
    <n v="59.9"/>
    <n v="169.42"/>
    <n v="86.1"/>
    <x v="0"/>
    <n v="42.5"/>
    <n v="30.260611171344816"/>
    <s v="High"/>
  </r>
  <r>
    <s v="MH011"/>
    <s v="Nongkrem"/>
    <x v="3"/>
    <x v="2"/>
    <n v="19690"/>
    <n v="90.5"/>
    <n v="2439"/>
    <n v="48.9"/>
    <n v="1192"/>
    <n v="916"/>
    <n v="60762"/>
    <n v="205"/>
    <n v="139"/>
    <n v="67.900000000000006"/>
    <n v="32.6"/>
    <n v="132.19999999999999"/>
    <n v="30.6"/>
    <n v="3"/>
    <n v="6"/>
    <n v="1"/>
    <n v="11"/>
    <n v="4"/>
    <n v="73.2"/>
    <n v="392"/>
    <n v="69.900000000000006"/>
    <n v="140.34"/>
    <n v="87.4"/>
    <x v="0"/>
    <n v="44.366666666666667"/>
    <n v="25.992965972574911"/>
    <s v="High"/>
  </r>
  <r>
    <s v="MH040"/>
    <s v="Dadenggre"/>
    <x v="6"/>
    <x v="1"/>
    <n v="15136"/>
    <n v="82"/>
    <n v="2368"/>
    <n v="54.2"/>
    <n v="1283"/>
    <n v="875"/>
    <n v="49033"/>
    <n v="184"/>
    <n v="145"/>
    <n v="79"/>
    <n v="45"/>
    <n v="237.1"/>
    <n v="34.799999999999997"/>
    <n v="17"/>
    <n v="3"/>
    <n v="1"/>
    <n v="47"/>
    <n v="15"/>
    <n v="74.900000000000006"/>
    <n v="813"/>
    <n v="38.5"/>
    <n v="182.21"/>
    <n v="87.4"/>
    <x v="3"/>
    <n v="39.43333333333333"/>
    <n v="28.719747621564483"/>
    <s v="High"/>
  </r>
  <r>
    <s v="MH008"/>
    <s v="East Shillong"/>
    <x v="3"/>
    <x v="2"/>
    <n v="45182"/>
    <n v="69.3"/>
    <n v="7093"/>
    <n v="19.5"/>
    <n v="1383"/>
    <n v="324"/>
    <n v="10137"/>
    <n v="158"/>
    <n v="75"/>
    <n v="48"/>
    <n v="62.7"/>
    <n v="68.2"/>
    <n v="84.7"/>
    <n v="3"/>
    <n v="1"/>
    <n v="2"/>
    <n v="48"/>
    <n v="4"/>
    <n v="85.2"/>
    <n v="182"/>
    <n v="65.2"/>
    <n v="188.65"/>
    <n v="87.9"/>
    <x v="5"/>
    <n v="70.866666666666674"/>
    <n v="9.8621796290558184"/>
    <s v="High"/>
  </r>
  <r>
    <s v="MH024"/>
    <s v="Nongpoh"/>
    <x v="5"/>
    <x v="3"/>
    <n v="30767"/>
    <n v="90"/>
    <n v="4148"/>
    <n v="42.6"/>
    <n v="1767"/>
    <n v="1177"/>
    <n v="72685"/>
    <n v="338"/>
    <n v="267"/>
    <n v="79"/>
    <n v="69.099999999999994"/>
    <n v="300.7"/>
    <n v="71.2"/>
    <n v="2"/>
    <n v="4"/>
    <n v="2"/>
    <n v="44"/>
    <n v="3"/>
    <n v="60.2"/>
    <n v="693"/>
    <n v="32"/>
    <n v="131.43"/>
    <n v="88.3"/>
    <x v="3"/>
    <n v="57.433333333333337"/>
    <n v="22.481216888224395"/>
    <s v="High"/>
  </r>
  <r>
    <s v="MH022"/>
    <s v="Mawshynrut"/>
    <x v="8"/>
    <x v="2"/>
    <n v="24983"/>
    <n v="88.6"/>
    <n v="3990"/>
    <n v="50.3"/>
    <n v="2006"/>
    <n v="1388"/>
    <n v="62970"/>
    <n v="229"/>
    <n v="171"/>
    <n v="75"/>
    <n v="64.900000000000006"/>
    <n v="205.1"/>
    <n v="55.6"/>
    <n v="10"/>
    <n v="4"/>
    <n v="0"/>
    <n v="53"/>
    <n v="12"/>
    <n v="64.099999999999994"/>
    <n v="562"/>
    <n v="26.1"/>
    <n v="120.3"/>
    <n v="90"/>
    <x v="2"/>
    <n v="48.866666666666674"/>
    <n v="26.410256974742822"/>
    <s v="High"/>
  </r>
  <r>
    <s v="MH010"/>
    <s v="Mawryngkneng"/>
    <x v="3"/>
    <x v="2"/>
    <n v="25700"/>
    <n v="74.8"/>
    <n v="4070"/>
    <n v="54.2"/>
    <n v="2205"/>
    <n v="1262"/>
    <n v="84958"/>
    <n v="440"/>
    <n v="218"/>
    <n v="49.6"/>
    <n v="58.5"/>
    <n v="209.7"/>
    <n v="28.6"/>
    <n v="4"/>
    <n v="2"/>
    <n v="0"/>
    <n v="34"/>
    <n v="18"/>
    <n v="70.5"/>
    <n v="662"/>
    <n v="18.100000000000001"/>
    <n v="183.76"/>
    <n v="90.7"/>
    <x v="2"/>
    <n v="35.06666666666667"/>
    <n v="28.75287937743191"/>
    <s v="High"/>
  </r>
  <r>
    <s v="MH013"/>
    <s v="Pynursla"/>
    <x v="3"/>
    <x v="2"/>
    <n v="11305"/>
    <n v="81.2"/>
    <n v="1629"/>
    <n v="30.2"/>
    <n v="491"/>
    <n v="301"/>
    <n v="13728"/>
    <n v="103"/>
    <n v="88"/>
    <n v="86.4"/>
    <n v="71.2"/>
    <n v="168.7"/>
    <n v="34.9"/>
    <n v="11"/>
    <n v="5"/>
    <n v="2"/>
    <n v="41"/>
    <n v="3"/>
    <n v="75.400000000000006"/>
    <n v="239"/>
    <n v="65.400000000000006"/>
    <n v="146.55000000000001"/>
    <n v="92.6"/>
    <x v="3"/>
    <n v="57.166666666666664"/>
    <n v="15.707164971251657"/>
    <s v="High"/>
  </r>
  <r>
    <s v="MH021"/>
    <s v="Mairang"/>
    <x v="8"/>
    <x v="2"/>
    <n v="32497"/>
    <n v="85.8"/>
    <n v="4646"/>
    <n v="54.6"/>
    <n v="2536"/>
    <n v="1987"/>
    <n v="86938"/>
    <n v="488"/>
    <n v="379"/>
    <n v="77.7"/>
    <n v="48"/>
    <n v="213.8"/>
    <n v="68.400000000000006"/>
    <n v="5"/>
    <n v="4"/>
    <n v="0"/>
    <n v="37"/>
    <n v="19"/>
    <n v="83.7"/>
    <n v="1634"/>
    <n v="51.1"/>
    <n v="151.44999999999999"/>
    <n v="93.8"/>
    <x v="1"/>
    <n v="55.833333333333336"/>
    <n v="28.637631165953781"/>
    <s v="High"/>
  </r>
  <r>
    <s v="MH006"/>
    <s v="Shillong North"/>
    <x v="3"/>
    <x v="2"/>
    <n v="54293"/>
    <n v="57.2"/>
    <n v="7890"/>
    <n v="31.1"/>
    <n v="2453"/>
    <n v="567"/>
    <n v="15073"/>
    <n v="368"/>
    <n v="196"/>
    <n v="53.4"/>
    <n v="92.1"/>
    <n v="87.2"/>
    <n v="77.5"/>
    <n v="8"/>
    <n v="5"/>
    <n v="2"/>
    <n v="20"/>
    <n v="7"/>
    <n v="87.2"/>
    <n v="740"/>
    <n v="94.5"/>
    <n v="99.39"/>
    <n v="94"/>
    <x v="5"/>
    <n v="88.033333333333346"/>
    <n v="15.688811633175549"/>
    <s v="High"/>
  </r>
  <r>
    <s v="MH023"/>
    <s v="Rambrai-Jyrngam"/>
    <x v="8"/>
    <x v="2"/>
    <n v="33739"/>
    <n v="75.099999999999994"/>
    <n v="5209"/>
    <n v="37.9"/>
    <n v="1974"/>
    <n v="1361"/>
    <n v="51024"/>
    <n v="388"/>
    <n v="245"/>
    <n v="63.3"/>
    <n v="65.099999999999994"/>
    <n v="307.10000000000002"/>
    <n v="28.9"/>
    <n v="14"/>
    <n v="4"/>
    <n v="0"/>
    <n v="30"/>
    <n v="12"/>
    <n v="77.599999999999994"/>
    <n v="1192"/>
    <n v="58.4"/>
    <n v="182.41"/>
    <n v="94"/>
    <x v="1"/>
    <n v="50.79999999999999"/>
    <n v="19.706157562464803"/>
    <s v="High"/>
  </r>
  <r>
    <s v="MH003"/>
    <s v="Nongthymmai"/>
    <x v="3"/>
    <x v="2"/>
    <n v="37229"/>
    <n v="72.099999999999994"/>
    <n v="4649"/>
    <n v="21.1"/>
    <n v="980"/>
    <n v="220"/>
    <n v="5294"/>
    <n v="127"/>
    <n v="97"/>
    <n v="76.5"/>
    <n v="85.2"/>
    <n v="76"/>
    <n v="71.8"/>
    <n v="8"/>
    <n v="2"/>
    <n v="2"/>
    <n v="54"/>
    <n v="10"/>
    <n v="84.3"/>
    <n v="331"/>
    <n v="78.900000000000006"/>
    <n v="125.53"/>
    <n v="96.3"/>
    <x v="5"/>
    <n v="78.633333333333326"/>
    <n v="10.621100486180129"/>
    <s v="Hig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2">
  <location ref="A3:D8" firstHeaderRow="0" firstDataRow="1" firstDataCol="1"/>
  <pivotFields count="31">
    <pivotField compact="0" outline="0" showAll="0"/>
    <pivotField compact="0" outline="0" showAll="0"/>
    <pivotField compact="0" outline="0" showAll="0"/>
    <pivotField axis="axisRow"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numFmtId="2" outline="0" showAll="0"/>
    <pivotField compact="0" numFmtId="164" outline="0" showAll="0"/>
    <pivotField compact="0" outline="0" showAll="0"/>
  </pivotFields>
  <rowFields count="1">
    <field x="3"/>
  </rowFields>
  <rowItems count="5">
    <i>
      <x/>
    </i>
    <i>
      <x v="1"/>
    </i>
    <i>
      <x v="2"/>
    </i>
    <i>
      <x v="3"/>
    </i>
    <i t="grand">
      <x/>
    </i>
  </rowItems>
  <colFields count="1">
    <field x="-2"/>
  </colFields>
  <colItems count="3">
    <i>
      <x/>
    </i>
    <i i="1">
      <x v="1"/>
    </i>
    <i i="2">
      <x v="2"/>
    </i>
  </colItems>
  <dataFields count="3">
    <dataField name="Average of JJM_Functional_Tap_Connections_Pct" fld="14" subtotal="average" baseField="3" baseItem="0"/>
    <dataField name="Average of Pucca_Road_Pct" fld="16" subtotal="average" baseField="3" baseItem="0"/>
    <dataField name="Average of Literacy_Rate_Pct" fld="22" subtotal="average" baseField="3" baseItem="0"/>
  </dataFields>
  <formats count="9">
    <format dxfId="60">
      <pivotArea type="all" dataOnly="0" outline="0" fieldPosition="0"/>
    </format>
    <format dxfId="59">
      <pivotArea outline="0" collapsedLevelsAreSubtotals="1" fieldPosition="0"/>
    </format>
    <format dxfId="58">
      <pivotArea field="3" type="button" dataOnly="0" labelOnly="1" outline="0" axis="axisRow" fieldPosition="0"/>
    </format>
    <format dxfId="57">
      <pivotArea dataOnly="0" labelOnly="1" outline="0" fieldPosition="0">
        <references count="1">
          <reference field="3" count="0"/>
        </references>
      </pivotArea>
    </format>
    <format dxfId="56">
      <pivotArea dataOnly="0" labelOnly="1" grandRow="1" outline="0" fieldPosition="0"/>
    </format>
    <format dxfId="55">
      <pivotArea dataOnly="0" labelOnly="1" outline="0" fieldPosition="0">
        <references count="1">
          <reference field="4294967294" count="3">
            <x v="0"/>
            <x v="1"/>
            <x v="2"/>
          </reference>
        </references>
      </pivotArea>
    </format>
    <format dxfId="54">
      <pivotArea outline="0" collapsedLevelsAreSubtotals="1" fieldPosition="0"/>
    </format>
    <format dxfId="53">
      <pivotArea dataOnly="0" labelOnly="1" outline="0" fieldPosition="0">
        <references count="1">
          <reference field="4294967294" count="3">
            <x v="0"/>
            <x v="1"/>
            <x v="2"/>
          </reference>
        </references>
      </pivotArea>
    </format>
    <format dxfId="52">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4831BB-0C1B-40F5-AA67-1EE920407515}" name="Voter"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7">
  <location ref="A100:B110" firstHeaderRow="1" firstDataRow="1" firstDataCol="1"/>
  <pivotFields count="31">
    <pivotField compact="0" outline="0" showAll="0"/>
    <pivotField compact="0" outline="0" showAll="0"/>
    <pivotField axis="axisRow" compact="0" outline="0" showAll="0">
      <items count="11">
        <item x="8"/>
        <item x="0"/>
        <item x="6"/>
        <item x="1"/>
        <item x="9"/>
        <item x="5"/>
        <item x="7"/>
        <item x="3"/>
        <item x="4"/>
        <item x="2"/>
        <item t="default"/>
      </items>
    </pivotField>
    <pivotField compact="0" outline="0" showAll="0">
      <items count="5">
        <item x="1"/>
        <item x="0"/>
        <item x="2"/>
        <item x="3"/>
        <item t="default"/>
      </items>
    </pivotField>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7">
        <item x="0"/>
        <item x="3"/>
        <item x="1"/>
        <item x="4"/>
        <item x="2"/>
        <item x="5"/>
        <item t="default"/>
      </items>
    </pivotField>
    <pivotField compact="0" numFmtId="2" outline="0" showAll="0"/>
    <pivotField compact="0" numFmtId="164" outline="0" showAll="0"/>
    <pivotField compact="0" outline="0" showAll="0"/>
  </pivotFields>
  <rowFields count="1">
    <field x="2"/>
  </rowFields>
  <rowItems count="10">
    <i>
      <x/>
    </i>
    <i>
      <x v="1"/>
    </i>
    <i>
      <x v="2"/>
    </i>
    <i>
      <x v="3"/>
    </i>
    <i>
      <x v="4"/>
    </i>
    <i>
      <x v="5"/>
    </i>
    <i>
      <x v="6"/>
    </i>
    <i>
      <x v="7"/>
    </i>
    <i>
      <x v="8"/>
    </i>
    <i>
      <x v="9"/>
    </i>
  </rowItems>
  <colItems count="1">
    <i/>
  </colItems>
  <dataFields count="1">
    <dataField name="Voter_Turnout_2023_Pct " fld="5" subtotal="average" baseField="2" baseItem="2"/>
  </dataFields>
  <formats count="11">
    <format dxfId="10">
      <pivotArea type="all" dataOnly="0" outline="0" fieldPosition="0"/>
    </format>
    <format dxfId="9">
      <pivotArea field="3" type="button" dataOnly="0" labelOnly="1" outline="0"/>
    </format>
    <format dxfId="8">
      <pivotArea dataOnly="0" labelOnly="1" grandRow="1" outline="0" fieldPosition="0"/>
    </format>
    <format dxfId="7">
      <pivotArea outline="0" collapsedLevelsAreSubtotals="1" fieldPosition="0"/>
    </format>
    <format dxfId="6">
      <pivotArea dataOnly="0" labelOnly="1" outline="0" axis="axisValues" fieldPosition="0"/>
    </format>
    <format dxfId="5">
      <pivotArea outline="0" collapsedLevelsAreSubtotals="1" fieldPosition="0"/>
    </format>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outline="0" fieldPosition="0">
        <references count="1">
          <reference field="2" count="0"/>
        </references>
      </pivotArea>
    </format>
    <format dxfId="0">
      <pivotArea dataOnly="0" labelOnly="1" outline="0" axis="axisValues" fieldPosition="0"/>
    </format>
  </formats>
  <chartFormats count="1">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908909-AE98-4E2F-AB4D-8B0F4B71BAA5}" name="Reg_Macro"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76:G81" firstHeaderRow="0" firstDataRow="1" firstDataCol="1"/>
  <pivotFields count="31">
    <pivotField compact="0" outline="0" showAll="0"/>
    <pivotField compact="0" outline="0" showAll="0"/>
    <pivotField compact="0" outline="0" showAll="0">
      <items count="11">
        <item x="2"/>
        <item x="4"/>
        <item x="3"/>
        <item x="7"/>
        <item x="5"/>
        <item x="9"/>
        <item x="1"/>
        <item x="6"/>
        <item x="0"/>
        <item x="8"/>
        <item t="default"/>
      </items>
    </pivotField>
    <pivotField axis="axisRow" compact="0" outline="0" showAll="0">
      <items count="5">
        <item x="1"/>
        <item x="0"/>
        <item x="2"/>
        <item x="3"/>
        <item t="default"/>
      </items>
    </pivotField>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
        <item x="0"/>
        <item x="3"/>
        <item x="1"/>
        <item x="4"/>
        <item x="2"/>
        <item x="5"/>
        <item t="default"/>
      </items>
    </pivotField>
    <pivotField compact="0" numFmtId="2" outline="0" showAll="0"/>
    <pivotField compact="0" numFmtId="164" outline="0" showAll="0"/>
    <pivotField compact="0" outline="0" showAll="0"/>
  </pivotFields>
  <rowFields count="1">
    <field x="3"/>
  </rowFields>
  <rowItems count="5">
    <i>
      <x/>
    </i>
    <i>
      <x v="1"/>
    </i>
    <i>
      <x v="2"/>
    </i>
    <i>
      <x v="3"/>
    </i>
    <i t="grand">
      <x/>
    </i>
  </rowItems>
  <colFields count="1">
    <field x="-2"/>
  </colFields>
  <colItems count="6">
    <i>
      <x/>
    </i>
    <i i="1">
      <x v="1"/>
    </i>
    <i i="2">
      <x v="2"/>
    </i>
    <i i="3">
      <x v="3"/>
    </i>
    <i i="4">
      <x v="4"/>
    </i>
    <i i="5">
      <x v="5"/>
    </i>
  </colItems>
  <dataFields count="6">
    <dataField name="Voter_Turnout_2023_Pct " fld="5" subtotal="average" baseField="0" baseItem="1"/>
    <dataField name="BPL_Households_Pct " fld="7" subtotal="average" baseField="0" baseItem="1"/>
    <dataField name="PM_Awas_Completion_Pct " fld="13" subtotal="average" baseField="0" baseItem="2"/>
    <dataField name="JJM_Functional_Tap_Connections_Pct " fld="14" subtotal="average" baseField="0" baseItem="2"/>
    <dataField name="Pucca_Road_Pct " fld="16" subtotal="average" baseField="0" baseItem="4"/>
    <dataField name="Fund Utilisation%" fld="26" subtotal="average" baseField="3" baseItem="1" numFmtId="1"/>
  </dataFields>
  <formats count="10">
    <format dxfId="20">
      <pivotArea type="all" dataOnly="0" outline="0" fieldPosition="0"/>
    </format>
    <format dxfId="19">
      <pivotArea outline="0" collapsedLevelsAreSubtotals="1" fieldPosition="0"/>
    </format>
    <format dxfId="18">
      <pivotArea dataOnly="0" labelOnly="1" outline="0" axis="axisValues" fieldPosition="0"/>
    </format>
    <format dxfId="17">
      <pivotArea outline="0" collapsedLevelsAreSubtotals="1" fieldPosition="0"/>
    </format>
    <format dxfId="16">
      <pivotArea type="all" dataOnly="0" outline="0" fieldPosition="0"/>
    </format>
    <format dxfId="15">
      <pivotArea outline="0" collapsedLevelsAreSubtotals="1" fieldPosition="0"/>
    </format>
    <format dxfId="14">
      <pivotArea field="3" type="button" dataOnly="0" labelOnly="1" outline="0" axis="axisRow" fieldPosition="0"/>
    </format>
    <format dxfId="13">
      <pivotArea dataOnly="0" labelOnly="1" outline="0" fieldPosition="0">
        <references count="1">
          <reference field="3" count="0"/>
        </references>
      </pivotArea>
    </format>
    <format dxfId="12">
      <pivotArea dataOnly="0" labelOnly="1" grandRow="1" outline="0" fieldPosition="0"/>
    </format>
    <format dxfId="11">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9FF812-C3A1-4646-BA07-F1B91411DF95}" name="Fund"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2">
  <location ref="A16:B26" firstHeaderRow="1" firstDataRow="1" firstDataCol="1"/>
  <pivotFields count="31">
    <pivotField compact="0" outline="0" showAll="0"/>
    <pivotField compact="0" outline="0" showAll="0"/>
    <pivotField axis="axisRow" compact="0" outline="0" showAll="0" sortType="ascending">
      <items count="11">
        <item x="8"/>
        <item x="0"/>
        <item x="6"/>
        <item x="1"/>
        <item x="9"/>
        <item x="5"/>
        <item x="7"/>
        <item x="3"/>
        <item x="4"/>
        <item x="2"/>
        <item t="default"/>
      </items>
      <autoSortScope>
        <pivotArea dataOnly="0" outline="0" fieldPosition="0">
          <references count="1">
            <reference field="4294967294" count="1" selected="0">
              <x v="0"/>
            </reference>
          </references>
        </pivotArea>
      </autoSortScope>
    </pivotField>
    <pivotField compact="0" outline="0" showAll="0">
      <items count="5">
        <item x="1"/>
        <item x="0"/>
        <item x="2"/>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
        <item x="0"/>
        <item x="3"/>
        <item x="1"/>
        <item x="4"/>
        <item x="2"/>
        <item x="5"/>
        <item t="default"/>
      </items>
    </pivotField>
    <pivotField compact="0" numFmtId="2" outline="0" showAll="0"/>
    <pivotField compact="0" numFmtId="164" outline="0" showAll="0"/>
    <pivotField compact="0" outline="0" showAll="0"/>
  </pivotFields>
  <rowFields count="1">
    <field x="2"/>
  </rowFields>
  <rowItems count="10">
    <i>
      <x v="3"/>
    </i>
    <i>
      <x v="9"/>
    </i>
    <i>
      <x v="1"/>
    </i>
    <i>
      <x v="8"/>
    </i>
    <i>
      <x v="5"/>
    </i>
    <i>
      <x v="4"/>
    </i>
    <i>
      <x v="7"/>
    </i>
    <i>
      <x v="6"/>
    </i>
    <i>
      <x v="2"/>
    </i>
    <i>
      <x/>
    </i>
  </rowItems>
  <colItems count="1">
    <i/>
  </colItems>
  <dataFields count="1">
    <dataField name="Fund Utilisation%" fld="26" subtotal="average" baseField="3" baseItem="1" numFmtId="1"/>
  </dataFields>
  <formats count="11">
    <format dxfId="31">
      <pivotArea type="all" dataOnly="0" outline="0" fieldPosition="0"/>
    </format>
    <format dxfId="30">
      <pivotArea field="3" type="button" dataOnly="0" labelOnly="1" outline="0"/>
    </format>
    <format dxfId="29">
      <pivotArea dataOnly="0" labelOnly="1" grandRow="1" outline="0" fieldPosition="0"/>
    </format>
    <format dxfId="28">
      <pivotArea outline="0" collapsedLevelsAreSubtotals="1" fieldPosition="0"/>
    </format>
    <format dxfId="27">
      <pivotArea dataOnly="0" labelOnly="1" outline="0" axis="axisValues" fieldPosition="0"/>
    </format>
    <format dxfId="26">
      <pivotArea outline="0" collapsedLevelsAreSubtotals="1" fieldPosition="0"/>
    </format>
    <format dxfId="25">
      <pivotArea type="all" dataOnly="0" outline="0" fieldPosition="0"/>
    </format>
    <format dxfId="24">
      <pivotArea outline="0" collapsedLevelsAreSubtotals="1" fieldPosition="0"/>
    </format>
    <format dxfId="23">
      <pivotArea field="2" type="button" dataOnly="0" labelOnly="1" outline="0" axis="axisRow" fieldPosition="0"/>
    </format>
    <format dxfId="22">
      <pivotArea dataOnly="0" labelOnly="1" outline="0" fieldPosition="0">
        <references count="1">
          <reference field="2" count="0"/>
        </references>
      </pivotArea>
    </format>
    <format dxfId="2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_main"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7:F8" firstHeaderRow="0" firstDataRow="1" firstDataCol="0"/>
  <pivotFields count="31">
    <pivotField compact="0" outline="0" showAll="0"/>
    <pivotField compact="0" outline="0" showAll="0"/>
    <pivotField compact="0" outline="0" showAll="0">
      <items count="11">
        <item x="2"/>
        <item x="4"/>
        <item x="3"/>
        <item x="7"/>
        <item x="5"/>
        <item x="9"/>
        <item x="1"/>
        <item x="6"/>
        <item x="0"/>
        <item x="8"/>
        <item t="default"/>
      </items>
    </pivotField>
    <pivotField compact="0" outline="0" showAll="0">
      <items count="5">
        <item x="1"/>
        <item x="0"/>
        <item x="2"/>
        <item x="3"/>
        <item t="default"/>
      </items>
    </pivotField>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
        <item x="0"/>
        <item x="3"/>
        <item x="1"/>
        <item x="4"/>
        <item x="2"/>
        <item x="5"/>
        <item t="default"/>
      </items>
    </pivotField>
    <pivotField compact="0" numFmtId="2" outline="0" showAll="0"/>
    <pivotField compact="0" numFmtId="164" outline="0" showAll="0"/>
    <pivotField compact="0" outline="0" showAll="0"/>
  </pivotFields>
  <rowItems count="1">
    <i/>
  </rowItems>
  <colFields count="1">
    <field x="-2"/>
  </colFields>
  <colItems count="6">
    <i>
      <x/>
    </i>
    <i i="1">
      <x v="1"/>
    </i>
    <i i="2">
      <x v="2"/>
    </i>
    <i i="3">
      <x v="3"/>
    </i>
    <i i="4">
      <x v="4"/>
    </i>
    <i i="5">
      <x v="5"/>
    </i>
  </colItems>
  <dataFields count="6">
    <dataField name="Voter_Turnout_2023_Pct " fld="5" subtotal="average" baseField="0" baseItem="1"/>
    <dataField name="BPL_Households_Pct " fld="7" subtotal="average" baseField="0" baseItem="1"/>
    <dataField name="PM_Awas_Completion_Pct " fld="13" subtotal="average" baseField="0" baseItem="2"/>
    <dataField name="JJM_Functional_Tap_Connections_Pct " fld="14" subtotal="average" baseField="0" baseItem="2"/>
    <dataField name="Pucca_Road_Pct " fld="16" subtotal="average" baseField="0" baseItem="4"/>
    <dataField name="Fund Utilisation%" fld="26" subtotal="average" baseField="3" baseItem="1" numFmtId="1"/>
  </dataFields>
  <formats count="9">
    <format dxfId="40">
      <pivotArea type="all" dataOnly="0" outline="0" fieldPosition="0"/>
    </format>
    <format dxfId="39">
      <pivotArea field="3" type="button" dataOnly="0" labelOnly="1" outline="0"/>
    </format>
    <format dxfId="38">
      <pivotArea dataOnly="0" labelOnly="1" grandRow="1" outline="0" fieldPosition="0"/>
    </format>
    <format dxfId="37">
      <pivotArea outline="0" collapsedLevelsAreSubtotals="1" fieldPosition="0"/>
    </format>
    <format dxfId="36">
      <pivotArea dataOnly="0" labelOnly="1" outline="0" axis="axisValues" fieldPosition="0"/>
    </format>
    <format dxfId="35">
      <pivotArea outline="0" collapsedLevelsAreSubtotals="1" fieldPosition="0"/>
    </format>
    <format dxfId="34">
      <pivotArea type="all" dataOnly="0" outline="0" fieldPosition="0"/>
    </format>
    <format dxfId="33">
      <pivotArea outline="0" collapsedLevelsAreSubtotals="1" fieldPosition="0"/>
    </format>
    <format dxfId="32">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CB5FA7-141B-4D9C-AB5A-ECEC52C5C6B7}" name="Dist_Macro"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44:G55" firstHeaderRow="0" firstDataRow="1" firstDataCol="1"/>
  <pivotFields count="31">
    <pivotField compact="0" outline="0" showAll="0"/>
    <pivotField compact="0" outline="0" showAll="0"/>
    <pivotField axis="axisRow" compact="0" outline="0" showAll="0">
      <items count="11">
        <item x="2"/>
        <item x="4"/>
        <item x="3"/>
        <item x="7"/>
        <item x="5"/>
        <item x="9"/>
        <item x="1"/>
        <item x="6"/>
        <item x="0"/>
        <item x="8"/>
        <item t="default"/>
      </items>
    </pivotField>
    <pivotField compact="0" outline="0" showAll="0">
      <items count="5">
        <item x="1"/>
        <item x="0"/>
        <item x="2"/>
        <item x="3"/>
        <item t="default"/>
      </items>
    </pivotField>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
        <item x="0"/>
        <item x="3"/>
        <item x="1"/>
        <item x="4"/>
        <item x="2"/>
        <item x="5"/>
        <item t="default"/>
      </items>
    </pivotField>
    <pivotField compact="0" numFmtId="2" outline="0" showAll="0"/>
    <pivotField compact="0" numFmtId="164" outline="0" showAll="0"/>
    <pivotField compact="0" outline="0" showAll="0"/>
  </pivotFields>
  <rowFields count="1">
    <field x="2"/>
  </rowFields>
  <rowItems count="11">
    <i>
      <x/>
    </i>
    <i>
      <x v="1"/>
    </i>
    <i>
      <x v="2"/>
    </i>
    <i>
      <x v="3"/>
    </i>
    <i>
      <x v="4"/>
    </i>
    <i>
      <x v="5"/>
    </i>
    <i>
      <x v="6"/>
    </i>
    <i>
      <x v="7"/>
    </i>
    <i>
      <x v="8"/>
    </i>
    <i>
      <x v="9"/>
    </i>
    <i t="grand">
      <x/>
    </i>
  </rowItems>
  <colFields count="1">
    <field x="-2"/>
  </colFields>
  <colItems count="6">
    <i>
      <x/>
    </i>
    <i i="1">
      <x v="1"/>
    </i>
    <i i="2">
      <x v="2"/>
    </i>
    <i i="3">
      <x v="3"/>
    </i>
    <i i="4">
      <x v="4"/>
    </i>
    <i i="5">
      <x v="5"/>
    </i>
  </colItems>
  <dataFields count="6">
    <dataField name="Voter_Turnout_2023_Pct " fld="5" subtotal="average" baseField="0" baseItem="1"/>
    <dataField name="BPL_Households_Pct " fld="7" subtotal="average" baseField="0" baseItem="1"/>
    <dataField name="PM_Awas_Completion_Pct " fld="13" subtotal="average" baseField="0" baseItem="2"/>
    <dataField name="JJM_Functional_Tap_Connections_Pct " fld="14" subtotal="average" baseField="0" baseItem="2"/>
    <dataField name="Pucca_Road_Pct " fld="16" subtotal="average" baseField="0" baseItem="4"/>
    <dataField name="Fund Utilisation%" fld="26" subtotal="average" baseField="3" baseItem="1" numFmtId="1"/>
  </dataFields>
  <formats count="11">
    <format dxfId="51">
      <pivotArea type="all" dataOnly="0" outline="0" fieldPosition="0"/>
    </format>
    <format dxfId="50">
      <pivotArea field="3" type="button" dataOnly="0" labelOnly="1" outline="0"/>
    </format>
    <format dxfId="49">
      <pivotArea outline="0" collapsedLevelsAreSubtotals="1" fieldPosition="0"/>
    </format>
    <format dxfId="48">
      <pivotArea dataOnly="0" labelOnly="1" outline="0" axis="axisValues" fieldPosition="0"/>
    </format>
    <format dxfId="47">
      <pivotArea outline="0" collapsedLevelsAreSubtotals="1" fieldPosition="0"/>
    </format>
    <format dxfId="46">
      <pivotArea type="all" dataOnly="0" outline="0" fieldPosition="0"/>
    </format>
    <format dxfId="45">
      <pivotArea outline="0" collapsedLevelsAreSubtotals="1" fieldPosition="0"/>
    </format>
    <format dxfId="44">
      <pivotArea field="2" type="button" dataOnly="0" labelOnly="1" outline="0" axis="axisRow" fieldPosition="0"/>
    </format>
    <format dxfId="43">
      <pivotArea dataOnly="0" labelOnly="1" outline="0" fieldPosition="0">
        <references count="1">
          <reference field="2" count="0"/>
        </references>
      </pivotArea>
    </format>
    <format dxfId="42">
      <pivotArea dataOnly="0" labelOnly="1" grandRow="1" outline="0" fieldPosition="0"/>
    </format>
    <format dxfId="41">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rict" xr10:uid="{14013803-3A4A-4CC1-84C9-BD702C888182}" sourceName="District">
  <pivotTables>
    <pivotTable tabId="14" name="P_main"/>
  </pivotTables>
  <data>
    <tabular pivotCacheId="1477532807">
      <items count="10">
        <i x="2" s="1"/>
        <i x="4" s="1"/>
        <i x="3" s="1"/>
        <i x="7" s="1"/>
        <i x="5" s="1"/>
        <i x="9" s="1"/>
        <i x="1" s="1"/>
        <i x="6" s="1"/>
        <i x="0" s="1"/>
        <i x="8"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mary_Occupation" xr10:uid="{1D7283D9-8BEB-4BFD-9074-46943C50E015}" sourceName="Primary_Occupation">
  <pivotTables>
    <pivotTable tabId="14" name="Fund"/>
    <pivotTable tabId="14" name="P_main"/>
    <pivotTable tabId="14" name="Dist_Macro"/>
    <pivotTable tabId="14" name="Reg_Macro"/>
    <pivotTable tabId="14" name="Voter"/>
  </pivotTables>
  <data>
    <tabular pivotCacheId="1477532807">
      <items count="6">
        <i x="0" s="1"/>
        <i x="3" s="1"/>
        <i x="1" s="1"/>
        <i x="4" s="1"/>
        <i x="2"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52ECA08-50ED-4A4F-AF14-429EB4B33DD4}" sourceName="Region">
  <pivotTables>
    <pivotTable tabId="14" name="P_main"/>
  </pivotTables>
  <data>
    <tabular pivotCacheId="1477532807">
      <items count="4">
        <i x="1" s="1"/>
        <i x="0"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trict 1" xr10:uid="{01ED9EA8-5822-4EC3-A10A-4ED108130A09}" cache="Slicer_District" caption="District" columnCount="5" style="My Own 2" rowHeight="216000"/>
  <slicer name="Primary_Occupation 1" xr10:uid="{F9069946-25B6-46E4-8B71-4D368A5F88EF}" cache="Slicer_Primary_Occupation" caption="Primary_Occupation" columnCount="2" style="My Own 2" rowHeight="241300"/>
  <slicer name="Region" xr10:uid="{11BD42AB-EE05-4DC9-8DCF-BC30D93CD783}" cache="Slicer_Region" caption="Region" columnCount="2" style="My Own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E60" headerRowDxfId="126" dataDxfId="124" headerRowBorderDxfId="125" tableBorderDxfId="123" totalsRowBorderDxfId="122">
  <sortState xmlns:xlrd2="http://schemas.microsoft.com/office/spreadsheetml/2017/richdata2" ref="A2:AE60">
    <sortCondition ref="AA2:AA60"/>
  </sortState>
  <tableColumns count="31">
    <tableColumn id="1" xr3:uid="{00000000-0010-0000-0000-000001000000}" name="Constituency_ID" dataDxfId="121" totalsRowDxfId="120"/>
    <tableColumn id="2" xr3:uid="{00000000-0010-0000-0000-000002000000}" name="Constituency_Name" dataDxfId="119" totalsRowDxfId="118"/>
    <tableColumn id="3" xr3:uid="{00000000-0010-0000-0000-000003000000}" name="District" dataDxfId="117" totalsRowDxfId="116"/>
    <tableColumn id="4" xr3:uid="{00000000-0010-0000-0000-000004000000}" name="Region" dataDxfId="115" totalsRowDxfId="114"/>
    <tableColumn id="5" xr3:uid="{00000000-0010-0000-0000-000005000000}" name="Electorate_2023" totalsRowFunction="custom" dataDxfId="113" totalsRowDxfId="112">
      <totalsRowFormula>_xlfn.STDEV.P(Table1[Electorate_2023])</totalsRowFormula>
    </tableColumn>
    <tableColumn id="6" xr3:uid="{00000000-0010-0000-0000-000006000000}" name="Voter_Turnout_2023_Pct" dataDxfId="111" totalsRowDxfId="110"/>
    <tableColumn id="7" xr3:uid="{00000000-0010-0000-0000-000007000000}" name="Total_Households" dataDxfId="109" totalsRowDxfId="108"/>
    <tableColumn id="8" xr3:uid="{00000000-0010-0000-0000-000008000000}" name="BPL_Households_Pct" dataDxfId="107" totalsRowDxfId="106"/>
    <tableColumn id="9" xr3:uid="{00000000-0010-0000-0000-000009000000}" name="BPL_Households_Count" dataDxfId="105" totalsRowDxfId="104"/>
    <tableColumn id="10" xr3:uid="{00000000-0010-0000-0000-00000A000000}" name="MGNREGS_Active_Job_Cards" dataDxfId="103" totalsRowDxfId="102"/>
    <tableColumn id="11" xr3:uid="{00000000-0010-0000-0000-00000B000000}" name="MGNREGS_Person_Days_FY2425" dataDxfId="101" totalsRowDxfId="100"/>
    <tableColumn id="12" xr3:uid="{00000000-0010-0000-0000-00000C000000}" name="PM_Awas_Yojana_Sanctioned" dataDxfId="99" totalsRowDxfId="98"/>
    <tableColumn id="13" xr3:uid="{00000000-0010-0000-0000-00000D000000}" name="PM_Awas_Yojana_Completed" dataDxfId="97" totalsRowDxfId="96"/>
    <tableColumn id="14" xr3:uid="{00000000-0010-0000-0000-00000E000000}" name="PM_Awas_Completion_Pct" dataDxfId="95" totalsRowDxfId="94"/>
    <tableColumn id="15" xr3:uid="{00000000-0010-0000-0000-00000F000000}" name="JJM_Functional_Tap_Connections_Pct" dataDxfId="93" totalsRowDxfId="92"/>
    <tableColumn id="16" xr3:uid="{00000000-0010-0000-0000-000010000000}" name="Road_Length_Km" dataDxfId="91" totalsRowDxfId="90"/>
    <tableColumn id="17" xr3:uid="{00000000-0010-0000-0000-000011000000}" name="Pucca_Road_Pct" dataDxfId="89" totalsRowDxfId="88"/>
    <tableColumn id="18" xr3:uid="{00000000-0010-0000-0000-000012000000}" name="Health_Sub_Centres" dataDxfId="87" totalsRowDxfId="86"/>
    <tableColumn id="19" xr3:uid="{00000000-0010-0000-0000-000013000000}" name="Primary_Health_Centres" dataDxfId="85" totalsRowDxfId="84"/>
    <tableColumn id="20" xr3:uid="{00000000-0010-0000-0000-000014000000}" name="Community_Health_Centres" dataDxfId="83" totalsRowDxfId="82"/>
    <tableColumn id="21" xr3:uid="{00000000-0010-0000-0000-000015000000}" name="Govt_Primary_Schools" dataDxfId="81" totalsRowDxfId="80"/>
    <tableColumn id="22" xr3:uid="{00000000-0010-0000-0000-000016000000}" name="Govt_Secondary_Schools" dataDxfId="79" totalsRowDxfId="78"/>
    <tableColumn id="23" xr3:uid="{00000000-0010-0000-0000-000017000000}" name="Literacy_Rate_Pct" dataDxfId="77" totalsRowDxfId="76"/>
    <tableColumn id="24" xr3:uid="{00000000-0010-0000-0000-000018000000}" name="PM_KISAN_Beneficiaries" dataDxfId="75" totalsRowDxfId="74"/>
    <tableColumn id="25" xr3:uid="{00000000-0010-0000-0000-000019000000}" name="Internet_4G_Coverage_Pct" dataDxfId="73" totalsRowDxfId="72"/>
    <tableColumn id="26" xr3:uid="{00000000-0010-0000-0000-00001A000000}" name="Constituency_Fund_Allocated_Lakhs" dataDxfId="71" totalsRowDxfId="70"/>
    <tableColumn id="27" xr3:uid="{00000000-0010-0000-0000-00001B000000}" name="Constituency_Fund_Utilized_Pct" dataDxfId="69" totalsRowDxfId="68"/>
    <tableColumn id="28" xr3:uid="{00000000-0010-0000-0000-00001C000000}" name="Primary_Occupation" dataDxfId="67" totalsRowDxfId="66"/>
    <tableColumn id="29" xr3:uid="{00000000-0010-0000-0000-00001D000000}" name="Derived_Col_Infrastructure_Index" dataDxfId="65">
      <calculatedColumnFormula>AVERAGE(Table1[[#This Row],[Internet_4G_Coverage_Pct]],Table1[[#This Row],[Pucca_Road_Pct]],Table1[[#This Row],[JJM_Functional_Tap_Connections_Pct]])</calculatedColumnFormula>
    </tableColumn>
    <tableColumn id="30" xr3:uid="{00000000-0010-0000-0000-00001E000000}" name="Derived_Col_Welfare Dependency" dataDxfId="64" totalsRowDxfId="63">
      <calculatedColumnFormula>(Table1[BPL_Households_Pct]+Table1[MGNREGS_Person_Days_FY2425]/Table1[Electorate_2023])/2</calculatedColumnFormula>
    </tableColumn>
    <tableColumn id="31" xr3:uid="{00000000-0010-0000-0000-00001F000000}" name="Derive_Col_Low Fund Utilisation Flag" dataDxfId="62" totalsRowDxfId="61">
      <calculatedColumnFormula>IF(Table1[Constituency_Fund_Utilized_Pct]&lt;60,"Low","High")</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E60"/>
  <sheetViews>
    <sheetView showGridLines="0" tabSelected="1" workbookViewId="0">
      <pane ySplit="1" topLeftCell="A2" activePane="bottomLeft" state="frozen"/>
      <selection activeCell="X1" sqref="X1"/>
      <selection pane="bottomLeft"/>
    </sheetView>
  </sheetViews>
  <sheetFormatPr defaultRowHeight="15" x14ac:dyDescent="0.25"/>
  <cols>
    <col min="1" max="1" width="11.85546875" bestFit="1" customWidth="1"/>
    <col min="2" max="2" width="15.28515625" bestFit="1" customWidth="1"/>
    <col min="3" max="3" width="15.7109375" bestFit="1" customWidth="1"/>
    <col min="4" max="4" width="8.85546875" bestFit="1" customWidth="1"/>
    <col min="5" max="5" width="12" bestFit="1" customWidth="1"/>
    <col min="6" max="6" width="18.140625" bestFit="1" customWidth="1"/>
    <col min="7" max="7" width="12.7109375" bestFit="1" customWidth="1"/>
    <col min="8" max="8" width="14.85546875" bestFit="1" customWidth="1"/>
    <col min="9" max="9" width="16.7109375" bestFit="1" customWidth="1"/>
    <col min="10" max="10" width="20.28515625" bestFit="1" customWidth="1"/>
    <col min="11" max="11" width="22.85546875" bestFit="1" customWidth="1"/>
    <col min="12" max="13" width="21" bestFit="1" customWidth="1"/>
    <col min="14" max="14" width="19.140625" bestFit="1" customWidth="1"/>
    <col min="15" max="15" width="26.7109375" bestFit="1" customWidth="1"/>
    <col min="16" max="16" width="12.42578125" bestFit="1" customWidth="1"/>
    <col min="17" max="17" width="11.7109375" bestFit="1" customWidth="1"/>
    <col min="18" max="18" width="14.5703125" bestFit="1" customWidth="1"/>
    <col min="19" max="19" width="17.42578125" bestFit="1" customWidth="1"/>
    <col min="20" max="20" width="20" bestFit="1" customWidth="1"/>
    <col min="21" max="21" width="15.85546875" bestFit="1" customWidth="1"/>
    <col min="22" max="22" width="17.7109375" bestFit="1" customWidth="1"/>
    <col min="23" max="23" width="12.85546875" bestFit="1" customWidth="1"/>
    <col min="24" max="24" width="17.5703125" bestFit="1" customWidth="1"/>
    <col min="25" max="25" width="19.140625" bestFit="1" customWidth="1"/>
    <col min="26" max="26" width="25.7109375" bestFit="1" customWidth="1"/>
    <col min="27" max="27" width="22.85546875" bestFit="1" customWidth="1"/>
    <col min="28" max="28" width="18.42578125" bestFit="1" customWidth="1"/>
    <col min="29" max="29" width="23.85546875" bestFit="1" customWidth="1"/>
    <col min="30" max="30" width="24.28515625" bestFit="1" customWidth="1"/>
    <col min="31" max="31" width="25.85546875" bestFit="1" customWidth="1"/>
  </cols>
  <sheetData>
    <row r="1" spans="1:31" x14ac:dyDescent="0.25">
      <c r="A1" s="11" t="s">
        <v>0</v>
      </c>
      <c r="B1" s="11" t="s">
        <v>1</v>
      </c>
      <c r="C1" s="11" t="s">
        <v>2</v>
      </c>
      <c r="D1" s="11" t="s">
        <v>3</v>
      </c>
      <c r="E1" s="11" t="s">
        <v>4</v>
      </c>
      <c r="F1" s="11" t="s">
        <v>5</v>
      </c>
      <c r="G1" s="11" t="s">
        <v>6</v>
      </c>
      <c r="H1" s="11" t="s">
        <v>7</v>
      </c>
      <c r="I1" s="11" t="s">
        <v>8</v>
      </c>
      <c r="J1" s="11" t="s">
        <v>9</v>
      </c>
      <c r="K1" s="11" t="s">
        <v>10</v>
      </c>
      <c r="L1" s="11" t="s">
        <v>11</v>
      </c>
      <c r="M1" s="11" t="s">
        <v>12</v>
      </c>
      <c r="N1" s="11" t="s">
        <v>13</v>
      </c>
      <c r="O1" s="11" t="s">
        <v>14</v>
      </c>
      <c r="P1" s="11" t="s">
        <v>15</v>
      </c>
      <c r="Q1" s="11" t="s">
        <v>16</v>
      </c>
      <c r="R1" s="11" t="s">
        <v>17</v>
      </c>
      <c r="S1" s="11" t="s">
        <v>18</v>
      </c>
      <c r="T1" s="11" t="s">
        <v>19</v>
      </c>
      <c r="U1" s="11" t="s">
        <v>20</v>
      </c>
      <c r="V1" s="11" t="s">
        <v>21</v>
      </c>
      <c r="W1" s="11" t="s">
        <v>22</v>
      </c>
      <c r="X1" s="11" t="s">
        <v>23</v>
      </c>
      <c r="Y1" s="11" t="s">
        <v>24</v>
      </c>
      <c r="Z1" s="11" t="s">
        <v>25</v>
      </c>
      <c r="AA1" s="11" t="s">
        <v>26</v>
      </c>
      <c r="AB1" s="11" t="s">
        <v>27</v>
      </c>
      <c r="AC1" s="19" t="s">
        <v>180</v>
      </c>
      <c r="AD1" s="19" t="s">
        <v>181</v>
      </c>
      <c r="AE1" s="19" t="s">
        <v>182</v>
      </c>
    </row>
    <row r="2" spans="1:31" x14ac:dyDescent="0.25">
      <c r="A2" s="6" t="s">
        <v>98</v>
      </c>
      <c r="B2" s="5" t="s">
        <v>99</v>
      </c>
      <c r="C2" s="5" t="s">
        <v>94</v>
      </c>
      <c r="D2" s="5" t="s">
        <v>95</v>
      </c>
      <c r="E2" s="5">
        <v>20707</v>
      </c>
      <c r="F2" s="5">
        <v>76.5</v>
      </c>
      <c r="G2" s="5">
        <v>2825</v>
      </c>
      <c r="H2" s="5">
        <v>44</v>
      </c>
      <c r="I2" s="5">
        <v>1243</v>
      </c>
      <c r="J2" s="5">
        <v>785</v>
      </c>
      <c r="K2" s="5">
        <v>58067</v>
      </c>
      <c r="L2" s="5">
        <v>195</v>
      </c>
      <c r="M2" s="5">
        <v>151</v>
      </c>
      <c r="N2" s="5">
        <v>77.8</v>
      </c>
      <c r="O2" s="5">
        <v>29.1</v>
      </c>
      <c r="P2" s="5">
        <v>288.39999999999998</v>
      </c>
      <c r="Q2" s="5">
        <v>49.6</v>
      </c>
      <c r="R2" s="5">
        <v>2</v>
      </c>
      <c r="S2" s="5">
        <v>5</v>
      </c>
      <c r="T2" s="5">
        <v>1</v>
      </c>
      <c r="U2" s="5">
        <v>38</v>
      </c>
      <c r="V2" s="5">
        <v>18</v>
      </c>
      <c r="W2" s="5">
        <v>69.5</v>
      </c>
      <c r="X2" s="5">
        <v>1030</v>
      </c>
      <c r="Y2" s="5">
        <v>43.8</v>
      </c>
      <c r="Z2" s="5">
        <v>102.12</v>
      </c>
      <c r="AA2" s="5">
        <v>35.299999999999997</v>
      </c>
      <c r="AB2" s="7" t="s">
        <v>54</v>
      </c>
      <c r="AC2" s="15">
        <f>AVERAGE(Table1[[#This Row],[Internet_4G_Coverage_Pct]],Table1[[#This Row],[Pucca_Road_Pct]],Table1[[#This Row],[JJM_Functional_Tap_Connections_Pct]])</f>
        <v>40.833333333333336</v>
      </c>
      <c r="AD2" s="16">
        <f>(Table1[BPL_Households_Pct]+Table1[MGNREGS_Person_Days_FY2425]/Table1[Electorate_2023])/2</f>
        <v>23.402110397450137</v>
      </c>
      <c r="AE2" s="16" t="str">
        <f>IF(Table1[Constituency_Fund_Utilized_Pct]&lt;60,"Low","High")</f>
        <v>Low</v>
      </c>
    </row>
    <row r="3" spans="1:31" x14ac:dyDescent="0.25">
      <c r="A3" s="6" t="s">
        <v>152</v>
      </c>
      <c r="B3" s="5" t="s">
        <v>153</v>
      </c>
      <c r="C3" s="5" t="s">
        <v>149</v>
      </c>
      <c r="D3" s="5" t="s">
        <v>118</v>
      </c>
      <c r="E3" s="5">
        <v>12630</v>
      </c>
      <c r="F3" s="5">
        <v>85.5</v>
      </c>
      <c r="G3" s="5">
        <v>2061</v>
      </c>
      <c r="H3" s="5">
        <v>42.6</v>
      </c>
      <c r="I3" s="5">
        <v>877</v>
      </c>
      <c r="J3" s="5">
        <v>598</v>
      </c>
      <c r="K3" s="5">
        <v>27464</v>
      </c>
      <c r="L3" s="5">
        <v>162</v>
      </c>
      <c r="M3" s="5">
        <v>81</v>
      </c>
      <c r="N3" s="5">
        <v>50.3</v>
      </c>
      <c r="O3" s="5">
        <v>46.1</v>
      </c>
      <c r="P3" s="5">
        <v>148</v>
      </c>
      <c r="Q3" s="5">
        <v>57.9</v>
      </c>
      <c r="R3" s="5">
        <v>17</v>
      </c>
      <c r="S3" s="5">
        <v>5</v>
      </c>
      <c r="T3" s="5">
        <v>2</v>
      </c>
      <c r="U3" s="5">
        <v>27</v>
      </c>
      <c r="V3" s="5">
        <v>4</v>
      </c>
      <c r="W3" s="5">
        <v>63.7</v>
      </c>
      <c r="X3" s="5">
        <v>356</v>
      </c>
      <c r="Y3" s="5">
        <v>69</v>
      </c>
      <c r="Z3" s="5">
        <v>198.13</v>
      </c>
      <c r="AA3" s="5">
        <v>35.6</v>
      </c>
      <c r="AB3" s="7" t="s">
        <v>54</v>
      </c>
      <c r="AC3" s="15">
        <f>AVERAGE(Table1[[#This Row],[Internet_4G_Coverage_Pct]],Table1[[#This Row],[Pucca_Road_Pct]],Table1[[#This Row],[JJM_Functional_Tap_Connections_Pct]])</f>
        <v>57.666666666666664</v>
      </c>
      <c r="AD3" s="16">
        <f>(Table1[BPL_Households_Pct]+Table1[MGNREGS_Person_Days_FY2425]/Table1[Electorate_2023])/2</f>
        <v>22.387252573238321</v>
      </c>
      <c r="AE3" s="16" t="str">
        <f>IF(Table1[Constituency_Fund_Utilized_Pct]&lt;60,"Low","High")</f>
        <v>Low</v>
      </c>
    </row>
    <row r="4" spans="1:31" x14ac:dyDescent="0.25">
      <c r="A4" s="6" t="s">
        <v>141</v>
      </c>
      <c r="B4" s="5" t="s">
        <v>142</v>
      </c>
      <c r="C4" s="5" t="s">
        <v>140</v>
      </c>
      <c r="D4" s="5" t="s">
        <v>118</v>
      </c>
      <c r="E4" s="5">
        <v>25689</v>
      </c>
      <c r="F4" s="5">
        <v>87.6</v>
      </c>
      <c r="G4" s="5">
        <v>3250</v>
      </c>
      <c r="H4" s="5">
        <v>43.1</v>
      </c>
      <c r="I4" s="5">
        <v>1400</v>
      </c>
      <c r="J4" s="5">
        <v>1167</v>
      </c>
      <c r="K4" s="5">
        <v>42869</v>
      </c>
      <c r="L4" s="5">
        <v>265</v>
      </c>
      <c r="M4" s="5">
        <v>227</v>
      </c>
      <c r="N4" s="5">
        <v>85.7</v>
      </c>
      <c r="O4" s="5">
        <v>51.2</v>
      </c>
      <c r="P4" s="5">
        <v>189.9</v>
      </c>
      <c r="Q4" s="5">
        <v>70.400000000000006</v>
      </c>
      <c r="R4" s="5">
        <v>3</v>
      </c>
      <c r="S4" s="5">
        <v>4</v>
      </c>
      <c r="T4" s="5">
        <v>1</v>
      </c>
      <c r="U4" s="5">
        <v>35</v>
      </c>
      <c r="V4" s="5">
        <v>6</v>
      </c>
      <c r="W4" s="5">
        <v>70.7</v>
      </c>
      <c r="X4" s="5">
        <v>458</v>
      </c>
      <c r="Y4" s="5">
        <v>50.8</v>
      </c>
      <c r="Z4" s="5">
        <v>189.16</v>
      </c>
      <c r="AA4" s="5">
        <v>36.799999999999997</v>
      </c>
      <c r="AB4" s="7" t="s">
        <v>54</v>
      </c>
      <c r="AC4" s="15">
        <f>AVERAGE(Table1[[#This Row],[Internet_4G_Coverage_Pct]],Table1[[#This Row],[Pucca_Road_Pct]],Table1[[#This Row],[JJM_Functional_Tap_Connections_Pct]])</f>
        <v>57.466666666666669</v>
      </c>
      <c r="AD4" s="16">
        <f>(Table1[BPL_Households_Pct]+Table1[MGNREGS_Person_Days_FY2425]/Table1[Electorate_2023])/2</f>
        <v>22.384384366849623</v>
      </c>
      <c r="AE4" s="16" t="str">
        <f>IF(Table1[Constituency_Fund_Utilized_Pct]&lt;60,"Low","High")</f>
        <v>Low</v>
      </c>
    </row>
    <row r="5" spans="1:31" x14ac:dyDescent="0.25">
      <c r="A5" s="6" t="s">
        <v>150</v>
      </c>
      <c r="B5" s="5" t="s">
        <v>151</v>
      </c>
      <c r="C5" s="5" t="s">
        <v>149</v>
      </c>
      <c r="D5" s="5" t="s">
        <v>118</v>
      </c>
      <c r="E5" s="5">
        <v>22135</v>
      </c>
      <c r="F5" s="5">
        <v>79</v>
      </c>
      <c r="G5" s="5">
        <v>3159</v>
      </c>
      <c r="H5" s="5">
        <v>47.7</v>
      </c>
      <c r="I5" s="5">
        <v>1506</v>
      </c>
      <c r="J5" s="5">
        <v>859</v>
      </c>
      <c r="K5" s="5">
        <v>55524</v>
      </c>
      <c r="L5" s="5">
        <v>325</v>
      </c>
      <c r="M5" s="5">
        <v>160</v>
      </c>
      <c r="N5" s="5">
        <v>49.3</v>
      </c>
      <c r="O5" s="5">
        <v>51.7</v>
      </c>
      <c r="P5" s="5">
        <v>170.3</v>
      </c>
      <c r="Q5" s="5">
        <v>48</v>
      </c>
      <c r="R5" s="5">
        <v>7</v>
      </c>
      <c r="S5" s="5">
        <v>3</v>
      </c>
      <c r="T5" s="5">
        <v>1</v>
      </c>
      <c r="U5" s="5">
        <v>54</v>
      </c>
      <c r="V5" s="5">
        <v>13</v>
      </c>
      <c r="W5" s="5">
        <v>78.2</v>
      </c>
      <c r="X5" s="5">
        <v>422</v>
      </c>
      <c r="Y5" s="5">
        <v>26.5</v>
      </c>
      <c r="Z5" s="5">
        <v>148.11000000000001</v>
      </c>
      <c r="AA5" s="5">
        <v>37.5</v>
      </c>
      <c r="AB5" s="7" t="s">
        <v>48</v>
      </c>
      <c r="AC5" s="15">
        <f>AVERAGE(Table1[[#This Row],[Internet_4G_Coverage_Pct]],Table1[[#This Row],[Pucca_Road_Pct]],Table1[[#This Row],[JJM_Functional_Tap_Connections_Pct]])</f>
        <v>42.06666666666667</v>
      </c>
      <c r="AD5" s="16">
        <f>(Table1[BPL_Households_Pct]+Table1[MGNREGS_Person_Days_FY2425]/Table1[Electorate_2023])/2</f>
        <v>25.10421278518184</v>
      </c>
      <c r="AE5" s="16" t="str">
        <f>IF(Table1[Constituency_Fund_Utilized_Pct]&lt;60,"Low","High")</f>
        <v>Low</v>
      </c>
    </row>
    <row r="6" spans="1:31" x14ac:dyDescent="0.25">
      <c r="A6" s="6" t="s">
        <v>68</v>
      </c>
      <c r="B6" s="5" t="s">
        <v>69</v>
      </c>
      <c r="C6" s="5" t="s">
        <v>28</v>
      </c>
      <c r="D6" s="5" t="s">
        <v>29</v>
      </c>
      <c r="E6" s="5">
        <v>21278</v>
      </c>
      <c r="F6" s="5">
        <v>80.7</v>
      </c>
      <c r="G6" s="5">
        <v>2355</v>
      </c>
      <c r="H6" s="5">
        <v>55</v>
      </c>
      <c r="I6" s="5">
        <v>1295</v>
      </c>
      <c r="J6" s="5">
        <v>786</v>
      </c>
      <c r="K6" s="5">
        <v>28905</v>
      </c>
      <c r="L6" s="5">
        <v>182</v>
      </c>
      <c r="M6" s="5">
        <v>126</v>
      </c>
      <c r="N6" s="5">
        <v>69.400000000000006</v>
      </c>
      <c r="O6" s="5">
        <v>67.2</v>
      </c>
      <c r="P6" s="5">
        <v>244.8</v>
      </c>
      <c r="Q6" s="5">
        <v>69.400000000000006</v>
      </c>
      <c r="R6" s="5">
        <v>8</v>
      </c>
      <c r="S6" s="5">
        <v>3</v>
      </c>
      <c r="T6" s="5">
        <v>1</v>
      </c>
      <c r="U6" s="5">
        <v>12</v>
      </c>
      <c r="V6" s="5">
        <v>13</v>
      </c>
      <c r="W6" s="5">
        <v>74.2</v>
      </c>
      <c r="X6" s="5">
        <v>833</v>
      </c>
      <c r="Y6" s="5">
        <v>45.4</v>
      </c>
      <c r="Z6" s="5">
        <v>159.61000000000001</v>
      </c>
      <c r="AA6" s="5">
        <v>40.1</v>
      </c>
      <c r="AB6" s="7" t="s">
        <v>51</v>
      </c>
      <c r="AC6" s="15">
        <f>AVERAGE(Table1[[#This Row],[Internet_4G_Coverage_Pct]],Table1[[#This Row],[Pucca_Road_Pct]],Table1[[#This Row],[JJM_Functional_Tap_Connections_Pct]])</f>
        <v>60.666666666666664</v>
      </c>
      <c r="AD6" s="16">
        <f>(Table1[BPL_Households_Pct]+Table1[MGNREGS_Person_Days_FY2425]/Table1[Electorate_2023])/2</f>
        <v>28.179222671303695</v>
      </c>
      <c r="AE6" s="16" t="str">
        <f>IF(Table1[Constituency_Fund_Utilized_Pct]&lt;60,"Low","High")</f>
        <v>Low</v>
      </c>
    </row>
    <row r="7" spans="1:31" x14ac:dyDescent="0.25">
      <c r="A7" s="6" t="s">
        <v>60</v>
      </c>
      <c r="B7" s="5" t="s">
        <v>61</v>
      </c>
      <c r="C7" s="5" t="s">
        <v>28</v>
      </c>
      <c r="D7" s="5" t="s">
        <v>29</v>
      </c>
      <c r="E7" s="5">
        <v>14782</v>
      </c>
      <c r="F7" s="5">
        <v>89.8</v>
      </c>
      <c r="G7" s="5">
        <v>1774</v>
      </c>
      <c r="H7" s="5">
        <v>36.5</v>
      </c>
      <c r="I7" s="5">
        <v>647</v>
      </c>
      <c r="J7" s="5">
        <v>396</v>
      </c>
      <c r="K7" s="5">
        <v>19291</v>
      </c>
      <c r="L7" s="5">
        <v>114</v>
      </c>
      <c r="M7" s="5">
        <v>96</v>
      </c>
      <c r="N7" s="5">
        <v>85.1</v>
      </c>
      <c r="O7" s="5">
        <v>50.3</v>
      </c>
      <c r="P7" s="5">
        <v>140.30000000000001</v>
      </c>
      <c r="Q7" s="5">
        <v>68</v>
      </c>
      <c r="R7" s="5">
        <v>3</v>
      </c>
      <c r="S7" s="5">
        <v>1</v>
      </c>
      <c r="T7" s="5">
        <v>2</v>
      </c>
      <c r="U7" s="5">
        <v>35</v>
      </c>
      <c r="V7" s="5">
        <v>11</v>
      </c>
      <c r="W7" s="5">
        <v>59.1</v>
      </c>
      <c r="X7" s="5">
        <v>664</v>
      </c>
      <c r="Y7" s="5">
        <v>26.7</v>
      </c>
      <c r="Z7" s="5">
        <v>120.03</v>
      </c>
      <c r="AA7" s="5">
        <v>40.5</v>
      </c>
      <c r="AB7" s="7" t="s">
        <v>51</v>
      </c>
      <c r="AC7" s="15">
        <f>AVERAGE(Table1[[#This Row],[Internet_4G_Coverage_Pct]],Table1[[#This Row],[Pucca_Road_Pct]],Table1[[#This Row],[JJM_Functional_Tap_Connections_Pct]])</f>
        <v>48.333333333333336</v>
      </c>
      <c r="AD7" s="16">
        <f>(Table1[BPL_Households_Pct]+Table1[MGNREGS_Person_Days_FY2425]/Table1[Electorate_2023])/2</f>
        <v>18.90251657421188</v>
      </c>
      <c r="AE7" s="16" t="str">
        <f>IF(Table1[Constituency_Fund_Utilized_Pct]&lt;60,"Low","High")</f>
        <v>Low</v>
      </c>
    </row>
    <row r="8" spans="1:31" x14ac:dyDescent="0.25">
      <c r="A8" s="6" t="s">
        <v>111</v>
      </c>
      <c r="B8" s="5" t="s">
        <v>112</v>
      </c>
      <c r="C8" s="5" t="s">
        <v>108</v>
      </c>
      <c r="D8" s="5" t="s">
        <v>95</v>
      </c>
      <c r="E8" s="5">
        <v>12691</v>
      </c>
      <c r="F8" s="5">
        <v>76.099999999999994</v>
      </c>
      <c r="G8" s="5">
        <v>2043</v>
      </c>
      <c r="H8" s="5">
        <v>41.1</v>
      </c>
      <c r="I8" s="5">
        <v>839</v>
      </c>
      <c r="J8" s="5">
        <v>637</v>
      </c>
      <c r="K8" s="5">
        <v>25388</v>
      </c>
      <c r="L8" s="5">
        <v>181</v>
      </c>
      <c r="M8" s="5">
        <v>133</v>
      </c>
      <c r="N8" s="5">
        <v>73.599999999999994</v>
      </c>
      <c r="O8" s="5">
        <v>35.4</v>
      </c>
      <c r="P8" s="5">
        <v>118</v>
      </c>
      <c r="Q8" s="5">
        <v>52.2</v>
      </c>
      <c r="R8" s="5">
        <v>15</v>
      </c>
      <c r="S8" s="5">
        <v>1</v>
      </c>
      <c r="T8" s="5">
        <v>0</v>
      </c>
      <c r="U8" s="5">
        <v>15</v>
      </c>
      <c r="V8" s="5">
        <v>17</v>
      </c>
      <c r="W8" s="5">
        <v>82.6</v>
      </c>
      <c r="X8" s="5">
        <v>740</v>
      </c>
      <c r="Y8" s="5">
        <v>33.799999999999997</v>
      </c>
      <c r="Z8" s="5">
        <v>157.72999999999999</v>
      </c>
      <c r="AA8" s="5">
        <v>42</v>
      </c>
      <c r="AB8" s="7" t="s">
        <v>59</v>
      </c>
      <c r="AC8" s="15">
        <f>AVERAGE(Table1[[#This Row],[Internet_4G_Coverage_Pct]],Table1[[#This Row],[Pucca_Road_Pct]],Table1[[#This Row],[JJM_Functional_Tap_Connections_Pct]])</f>
        <v>40.466666666666669</v>
      </c>
      <c r="AD8" s="16">
        <f>(Table1[BPL_Households_Pct]+Table1[MGNREGS_Person_Days_FY2425]/Table1[Electorate_2023])/2</f>
        <v>21.55023638799149</v>
      </c>
      <c r="AE8" s="16" t="str">
        <f>IF(Table1[Constituency_Fund_Utilized_Pct]&lt;60,"Low","High")</f>
        <v>Low</v>
      </c>
    </row>
    <row r="9" spans="1:31" x14ac:dyDescent="0.25">
      <c r="A9" s="6" t="s">
        <v>31</v>
      </c>
      <c r="B9" s="5" t="s">
        <v>32</v>
      </c>
      <c r="C9" s="5" t="s">
        <v>28</v>
      </c>
      <c r="D9" s="5" t="s">
        <v>29</v>
      </c>
      <c r="E9" s="5">
        <v>59696</v>
      </c>
      <c r="F9" s="5">
        <v>61.8</v>
      </c>
      <c r="G9" s="5">
        <v>11016</v>
      </c>
      <c r="H9" s="5">
        <v>18.7</v>
      </c>
      <c r="I9" s="5">
        <v>2059</v>
      </c>
      <c r="J9" s="5">
        <v>234</v>
      </c>
      <c r="K9" s="5">
        <v>5245</v>
      </c>
      <c r="L9" s="5">
        <v>409</v>
      </c>
      <c r="M9" s="5">
        <v>300</v>
      </c>
      <c r="N9" s="5">
        <v>73.400000000000006</v>
      </c>
      <c r="O9" s="5">
        <v>88.6</v>
      </c>
      <c r="P9" s="5">
        <v>78.8</v>
      </c>
      <c r="Q9" s="5">
        <v>83.4</v>
      </c>
      <c r="R9" s="5">
        <v>6</v>
      </c>
      <c r="S9" s="5">
        <v>1</v>
      </c>
      <c r="T9" s="5">
        <v>2</v>
      </c>
      <c r="U9" s="5">
        <v>26</v>
      </c>
      <c r="V9" s="5">
        <v>22</v>
      </c>
      <c r="W9" s="5">
        <v>94.4</v>
      </c>
      <c r="X9" s="5">
        <v>281</v>
      </c>
      <c r="Y9" s="5">
        <v>83.4</v>
      </c>
      <c r="Z9" s="5">
        <v>123.4</v>
      </c>
      <c r="AA9" s="5">
        <v>44.5</v>
      </c>
      <c r="AB9" s="7" t="s">
        <v>33</v>
      </c>
      <c r="AC9" s="15">
        <f>AVERAGE(Table1[[#This Row],[Internet_4G_Coverage_Pct]],Table1[[#This Row],[Pucca_Road_Pct]],Table1[[#This Row],[JJM_Functional_Tap_Connections_Pct]])</f>
        <v>85.13333333333334</v>
      </c>
      <c r="AD9" s="16">
        <f>(Table1[BPL_Households_Pct]+Table1[MGNREGS_Person_Days_FY2425]/Table1[Electorate_2023])/2</f>
        <v>9.3939309166443312</v>
      </c>
      <c r="AE9" s="16" t="str">
        <f>IF(Table1[Constituency_Fund_Utilized_Pct]&lt;60,"Low","High")</f>
        <v>Low</v>
      </c>
    </row>
    <row r="10" spans="1:31" x14ac:dyDescent="0.25">
      <c r="A10" s="6" t="s">
        <v>84</v>
      </c>
      <c r="B10" s="5" t="s">
        <v>85</v>
      </c>
      <c r="C10" s="5" t="s">
        <v>83</v>
      </c>
      <c r="D10" s="5" t="s">
        <v>83</v>
      </c>
      <c r="E10" s="5">
        <v>17935</v>
      </c>
      <c r="F10" s="5">
        <v>81.099999999999994</v>
      </c>
      <c r="G10" s="5">
        <v>3047</v>
      </c>
      <c r="H10" s="5">
        <v>36.299999999999997</v>
      </c>
      <c r="I10" s="5">
        <v>1106</v>
      </c>
      <c r="J10" s="5">
        <v>923</v>
      </c>
      <c r="K10" s="5">
        <v>47869</v>
      </c>
      <c r="L10" s="5">
        <v>217</v>
      </c>
      <c r="M10" s="5">
        <v>145</v>
      </c>
      <c r="N10" s="5">
        <v>67.099999999999994</v>
      </c>
      <c r="O10" s="5">
        <v>63.9</v>
      </c>
      <c r="P10" s="5">
        <v>92.5</v>
      </c>
      <c r="Q10" s="5">
        <v>69.900000000000006</v>
      </c>
      <c r="R10" s="5">
        <v>9</v>
      </c>
      <c r="S10" s="5">
        <v>6</v>
      </c>
      <c r="T10" s="5">
        <v>0</v>
      </c>
      <c r="U10" s="5">
        <v>49</v>
      </c>
      <c r="V10" s="5">
        <v>4</v>
      </c>
      <c r="W10" s="5">
        <v>77.599999999999994</v>
      </c>
      <c r="X10" s="5">
        <v>381</v>
      </c>
      <c r="Y10" s="5">
        <v>26.2</v>
      </c>
      <c r="Z10" s="5">
        <v>193.95</v>
      </c>
      <c r="AA10" s="5">
        <v>45</v>
      </c>
      <c r="AB10" s="7" t="s">
        <v>54</v>
      </c>
      <c r="AC10" s="15">
        <f>AVERAGE(Table1[[#This Row],[Internet_4G_Coverage_Pct]],Table1[[#This Row],[Pucca_Road_Pct]],Table1[[#This Row],[JJM_Functional_Tap_Connections_Pct]])</f>
        <v>53.333333333333336</v>
      </c>
      <c r="AD10" s="16">
        <f>(Table1[BPL_Households_Pct]+Table1[MGNREGS_Person_Days_FY2425]/Table1[Electorate_2023])/2</f>
        <v>19.484513521048228</v>
      </c>
      <c r="AE10" s="16" t="str">
        <f>IF(Table1[Constituency_Fund_Utilized_Pct]&lt;60,"Low","High")</f>
        <v>Low</v>
      </c>
    </row>
    <row r="11" spans="1:31" x14ac:dyDescent="0.25">
      <c r="A11" s="6" t="s">
        <v>92</v>
      </c>
      <c r="B11" s="5" t="s">
        <v>93</v>
      </c>
      <c r="C11" s="5" t="s">
        <v>94</v>
      </c>
      <c r="D11" s="5" t="s">
        <v>95</v>
      </c>
      <c r="E11" s="5">
        <v>54304</v>
      </c>
      <c r="F11" s="5">
        <v>60.6</v>
      </c>
      <c r="G11" s="5">
        <v>8506</v>
      </c>
      <c r="H11" s="5">
        <v>23.1</v>
      </c>
      <c r="I11" s="5">
        <v>1964</v>
      </c>
      <c r="J11" s="5">
        <v>348</v>
      </c>
      <c r="K11" s="5">
        <v>8622</v>
      </c>
      <c r="L11" s="5">
        <v>223</v>
      </c>
      <c r="M11" s="5">
        <v>142</v>
      </c>
      <c r="N11" s="5">
        <v>64.099999999999994</v>
      </c>
      <c r="O11" s="5">
        <v>80.3</v>
      </c>
      <c r="P11" s="5">
        <v>49.4</v>
      </c>
      <c r="Q11" s="5">
        <v>81.900000000000006</v>
      </c>
      <c r="R11" s="5">
        <v>8</v>
      </c>
      <c r="S11" s="5">
        <v>4</v>
      </c>
      <c r="T11" s="5">
        <v>1</v>
      </c>
      <c r="U11" s="5">
        <v>9</v>
      </c>
      <c r="V11" s="5">
        <v>5</v>
      </c>
      <c r="W11" s="5">
        <v>86.1</v>
      </c>
      <c r="X11" s="5">
        <v>621</v>
      </c>
      <c r="Y11" s="5">
        <v>70.900000000000006</v>
      </c>
      <c r="Z11" s="5">
        <v>128.53</v>
      </c>
      <c r="AA11" s="5">
        <v>47.8</v>
      </c>
      <c r="AB11" s="7" t="s">
        <v>30</v>
      </c>
      <c r="AC11" s="15">
        <f>AVERAGE(Table1[[#This Row],[Internet_4G_Coverage_Pct]],Table1[[#This Row],[Pucca_Road_Pct]],Table1[[#This Row],[JJM_Functional_Tap_Connections_Pct]])</f>
        <v>77.7</v>
      </c>
      <c r="AD11" s="16">
        <f>(Table1[BPL_Households_Pct]+Table1[MGNREGS_Person_Days_FY2425]/Table1[Electorate_2023])/2</f>
        <v>11.629386417206836</v>
      </c>
      <c r="AE11" s="16" t="str">
        <f>IF(Table1[Constituency_Fund_Utilized_Pct]&lt;60,"Low","High")</f>
        <v>Low</v>
      </c>
    </row>
    <row r="12" spans="1:31" x14ac:dyDescent="0.25">
      <c r="A12" s="6" t="s">
        <v>66</v>
      </c>
      <c r="B12" s="5" t="s">
        <v>67</v>
      </c>
      <c r="C12" s="5" t="s">
        <v>28</v>
      </c>
      <c r="D12" s="5" t="s">
        <v>29</v>
      </c>
      <c r="E12" s="5">
        <v>52000</v>
      </c>
      <c r="F12" s="5">
        <v>71.400000000000006</v>
      </c>
      <c r="G12" s="5">
        <v>6159</v>
      </c>
      <c r="H12" s="5">
        <v>25.2</v>
      </c>
      <c r="I12" s="5">
        <v>1552</v>
      </c>
      <c r="J12" s="5">
        <v>247</v>
      </c>
      <c r="K12" s="5">
        <v>6660</v>
      </c>
      <c r="L12" s="5">
        <v>139</v>
      </c>
      <c r="M12" s="5">
        <v>113</v>
      </c>
      <c r="N12" s="5">
        <v>81.3</v>
      </c>
      <c r="O12" s="5">
        <v>73.599999999999994</v>
      </c>
      <c r="P12" s="5">
        <v>65.599999999999994</v>
      </c>
      <c r="Q12" s="5">
        <v>87</v>
      </c>
      <c r="R12" s="5">
        <v>7</v>
      </c>
      <c r="S12" s="5">
        <v>3</v>
      </c>
      <c r="T12" s="5">
        <v>0</v>
      </c>
      <c r="U12" s="5">
        <v>15</v>
      </c>
      <c r="V12" s="5">
        <v>11</v>
      </c>
      <c r="W12" s="5">
        <v>84.5</v>
      </c>
      <c r="X12" s="5">
        <v>176</v>
      </c>
      <c r="Y12" s="5">
        <v>73.7</v>
      </c>
      <c r="Z12" s="5">
        <v>195.5</v>
      </c>
      <c r="AA12" s="5">
        <v>49.3</v>
      </c>
      <c r="AB12" s="7" t="s">
        <v>30</v>
      </c>
      <c r="AC12" s="15">
        <f>AVERAGE(Table1[[#This Row],[Internet_4G_Coverage_Pct]],Table1[[#This Row],[Pucca_Road_Pct]],Table1[[#This Row],[JJM_Functional_Tap_Connections_Pct]])</f>
        <v>78.099999999999994</v>
      </c>
      <c r="AD12" s="16">
        <f>(Table1[BPL_Households_Pct]+Table1[MGNREGS_Person_Days_FY2425]/Table1[Electorate_2023])/2</f>
        <v>12.66403846153846</v>
      </c>
      <c r="AE12" s="16" t="str">
        <f>IF(Table1[Constituency_Fund_Utilized_Pct]&lt;60,"Low","High")</f>
        <v>Low</v>
      </c>
    </row>
    <row r="13" spans="1:31" x14ac:dyDescent="0.25">
      <c r="A13" s="6" t="s">
        <v>163</v>
      </c>
      <c r="B13" s="5" t="s">
        <v>164</v>
      </c>
      <c r="C13" s="5" t="s">
        <v>108</v>
      </c>
      <c r="D13" s="5" t="s">
        <v>95</v>
      </c>
      <c r="E13" s="5">
        <v>32359</v>
      </c>
      <c r="F13" s="5">
        <v>75.8</v>
      </c>
      <c r="G13" s="5">
        <v>4528</v>
      </c>
      <c r="H13" s="5">
        <v>56.7</v>
      </c>
      <c r="I13" s="5">
        <v>2567</v>
      </c>
      <c r="J13" s="5">
        <v>1758</v>
      </c>
      <c r="K13" s="5">
        <v>118557</v>
      </c>
      <c r="L13" s="5">
        <v>506</v>
      </c>
      <c r="M13" s="5">
        <v>461</v>
      </c>
      <c r="N13" s="5">
        <v>91.2</v>
      </c>
      <c r="O13" s="5">
        <v>26.7</v>
      </c>
      <c r="P13" s="5">
        <v>235.1</v>
      </c>
      <c r="Q13" s="5">
        <v>29.7</v>
      </c>
      <c r="R13" s="5">
        <v>16</v>
      </c>
      <c r="S13" s="5">
        <v>4</v>
      </c>
      <c r="T13" s="5">
        <v>2</v>
      </c>
      <c r="U13" s="5">
        <v>41</v>
      </c>
      <c r="V13" s="5">
        <v>22</v>
      </c>
      <c r="W13" s="5">
        <v>62.1</v>
      </c>
      <c r="X13" s="5">
        <v>1024</v>
      </c>
      <c r="Y13" s="5">
        <v>36.299999999999997</v>
      </c>
      <c r="Z13" s="5">
        <v>124.74</v>
      </c>
      <c r="AA13" s="5">
        <v>50.4</v>
      </c>
      <c r="AB13" s="7" t="s">
        <v>48</v>
      </c>
      <c r="AC13" s="15">
        <f>AVERAGE(Table1[[#This Row],[Internet_4G_Coverage_Pct]],Table1[[#This Row],[Pucca_Road_Pct]],Table1[[#This Row],[JJM_Functional_Tap_Connections_Pct]])</f>
        <v>30.900000000000002</v>
      </c>
      <c r="AD13" s="16">
        <f>(Table1[BPL_Households_Pct]+Table1[MGNREGS_Person_Days_FY2425]/Table1[Electorate_2023])/2</f>
        <v>30.181901480268241</v>
      </c>
      <c r="AE13" s="16" t="str">
        <f>IF(Table1[Constituency_Fund_Utilized_Pct]&lt;60,"Low","High")</f>
        <v>Low</v>
      </c>
    </row>
    <row r="14" spans="1:31" x14ac:dyDescent="0.25">
      <c r="A14" s="6" t="s">
        <v>121</v>
      </c>
      <c r="B14" s="5" t="s">
        <v>122</v>
      </c>
      <c r="C14" s="5" t="s">
        <v>117</v>
      </c>
      <c r="D14" s="5" t="s">
        <v>118</v>
      </c>
      <c r="E14" s="5">
        <v>63978</v>
      </c>
      <c r="F14" s="5">
        <v>72.400000000000006</v>
      </c>
      <c r="G14" s="5">
        <v>9366</v>
      </c>
      <c r="H14" s="5">
        <v>24.6</v>
      </c>
      <c r="I14" s="5">
        <v>2304</v>
      </c>
      <c r="J14" s="5">
        <v>548</v>
      </c>
      <c r="K14" s="5">
        <v>24624</v>
      </c>
      <c r="L14" s="5">
        <v>425</v>
      </c>
      <c r="M14" s="5">
        <v>277</v>
      </c>
      <c r="N14" s="5">
        <v>65.400000000000006</v>
      </c>
      <c r="O14" s="5">
        <v>65.2</v>
      </c>
      <c r="P14" s="5">
        <v>73</v>
      </c>
      <c r="Q14" s="5">
        <v>91.8</v>
      </c>
      <c r="R14" s="5">
        <v>6</v>
      </c>
      <c r="S14" s="5">
        <v>2</v>
      </c>
      <c r="T14" s="5">
        <v>2</v>
      </c>
      <c r="U14" s="5">
        <v>27</v>
      </c>
      <c r="V14" s="5">
        <v>3</v>
      </c>
      <c r="W14" s="5">
        <v>82.6</v>
      </c>
      <c r="X14" s="5">
        <v>468</v>
      </c>
      <c r="Y14" s="5">
        <v>61.3</v>
      </c>
      <c r="Z14" s="5">
        <v>175.54</v>
      </c>
      <c r="AA14" s="5">
        <v>51.1</v>
      </c>
      <c r="AB14" s="7" t="s">
        <v>30</v>
      </c>
      <c r="AC14" s="15">
        <f>AVERAGE(Table1[[#This Row],[Internet_4G_Coverage_Pct]],Table1[[#This Row],[Pucca_Road_Pct]],Table1[[#This Row],[JJM_Functional_Tap_Connections_Pct]])</f>
        <v>72.766666666666666</v>
      </c>
      <c r="AD14" s="16">
        <f>(Table1[BPL_Households_Pct]+Table1[MGNREGS_Person_Days_FY2425]/Table1[Electorate_2023])/2</f>
        <v>12.492441151645879</v>
      </c>
      <c r="AE14" s="16" t="str">
        <f>IF(Table1[Constituency_Fund_Utilized_Pct]&lt;60,"Low","High")</f>
        <v>Low</v>
      </c>
    </row>
    <row r="15" spans="1:31" x14ac:dyDescent="0.25">
      <c r="A15" s="6" t="s">
        <v>90</v>
      </c>
      <c r="B15" s="5" t="s">
        <v>91</v>
      </c>
      <c r="C15" s="5" t="s">
        <v>83</v>
      </c>
      <c r="D15" s="5" t="s">
        <v>83</v>
      </c>
      <c r="E15" s="5">
        <v>32314</v>
      </c>
      <c r="F15" s="5">
        <v>77.400000000000006</v>
      </c>
      <c r="G15" s="5">
        <v>4309</v>
      </c>
      <c r="H15" s="5">
        <v>42.5</v>
      </c>
      <c r="I15" s="5">
        <v>1831</v>
      </c>
      <c r="J15" s="5">
        <v>1246</v>
      </c>
      <c r="K15" s="5">
        <v>80044</v>
      </c>
      <c r="L15" s="5">
        <v>215</v>
      </c>
      <c r="M15" s="5">
        <v>182</v>
      </c>
      <c r="N15" s="5">
        <v>85</v>
      </c>
      <c r="O15" s="5">
        <v>68.5</v>
      </c>
      <c r="P15" s="5">
        <v>100.8</v>
      </c>
      <c r="Q15" s="5">
        <v>66.8</v>
      </c>
      <c r="R15" s="5">
        <v>9</v>
      </c>
      <c r="S15" s="5">
        <v>4</v>
      </c>
      <c r="T15" s="5">
        <v>2</v>
      </c>
      <c r="U15" s="5">
        <v>47</v>
      </c>
      <c r="V15" s="5">
        <v>15</v>
      </c>
      <c r="W15" s="5">
        <v>66.7</v>
      </c>
      <c r="X15" s="5">
        <v>1063</v>
      </c>
      <c r="Y15" s="5">
        <v>37.200000000000003</v>
      </c>
      <c r="Z15" s="5">
        <v>139.32</v>
      </c>
      <c r="AA15" s="5">
        <v>53.1</v>
      </c>
      <c r="AB15" s="7" t="s">
        <v>59</v>
      </c>
      <c r="AC15" s="15">
        <f>AVERAGE(Table1[[#This Row],[Internet_4G_Coverage_Pct]],Table1[[#This Row],[Pucca_Road_Pct]],Table1[[#This Row],[JJM_Functional_Tap_Connections_Pct]])</f>
        <v>57.5</v>
      </c>
      <c r="AD15" s="16">
        <f>(Table1[BPL_Households_Pct]+Table1[MGNREGS_Person_Days_FY2425]/Table1[Electorate_2023])/2</f>
        <v>22.488534381382681</v>
      </c>
      <c r="AE15" s="16" t="str">
        <f>IF(Table1[Constituency_Fund_Utilized_Pct]&lt;60,"Low","High")</f>
        <v>Low</v>
      </c>
    </row>
    <row r="16" spans="1:31" x14ac:dyDescent="0.25">
      <c r="A16" s="6" t="s">
        <v>129</v>
      </c>
      <c r="B16" s="5" t="s">
        <v>130</v>
      </c>
      <c r="C16" s="5" t="s">
        <v>117</v>
      </c>
      <c r="D16" s="5" t="s">
        <v>118</v>
      </c>
      <c r="E16" s="5">
        <v>22988</v>
      </c>
      <c r="F16" s="5">
        <v>82.6</v>
      </c>
      <c r="G16" s="5">
        <v>3241</v>
      </c>
      <c r="H16" s="5">
        <v>35.700000000000003</v>
      </c>
      <c r="I16" s="5">
        <v>1157</v>
      </c>
      <c r="J16" s="5">
        <v>922</v>
      </c>
      <c r="K16" s="5">
        <v>50040</v>
      </c>
      <c r="L16" s="5">
        <v>223</v>
      </c>
      <c r="M16" s="5">
        <v>178</v>
      </c>
      <c r="N16" s="5">
        <v>80.099999999999994</v>
      </c>
      <c r="O16" s="5">
        <v>41</v>
      </c>
      <c r="P16" s="5">
        <v>107.6</v>
      </c>
      <c r="Q16" s="5">
        <v>70.400000000000006</v>
      </c>
      <c r="R16" s="5">
        <v>6</v>
      </c>
      <c r="S16" s="5">
        <v>2</v>
      </c>
      <c r="T16" s="5">
        <v>2</v>
      </c>
      <c r="U16" s="5">
        <v>54</v>
      </c>
      <c r="V16" s="5">
        <v>15</v>
      </c>
      <c r="W16" s="5">
        <v>83.1</v>
      </c>
      <c r="X16" s="5">
        <v>1055</v>
      </c>
      <c r="Y16" s="5">
        <v>18.8</v>
      </c>
      <c r="Z16" s="5">
        <v>176.55</v>
      </c>
      <c r="AA16" s="5">
        <v>55.8</v>
      </c>
      <c r="AB16" s="7" t="s">
        <v>48</v>
      </c>
      <c r="AC16" s="15">
        <f>AVERAGE(Table1[[#This Row],[Internet_4G_Coverage_Pct]],Table1[[#This Row],[Pucca_Road_Pct]],Table1[[#This Row],[JJM_Functional_Tap_Connections_Pct]])</f>
        <v>43.4</v>
      </c>
      <c r="AD16" s="16">
        <f>(Table1[BPL_Households_Pct]+Table1[MGNREGS_Person_Days_FY2425]/Table1[Electorate_2023])/2</f>
        <v>18.938393944666785</v>
      </c>
      <c r="AE16" s="16" t="str">
        <f>IF(Table1[Constituency_Fund_Utilized_Pct]&lt;60,"Low","High")</f>
        <v>Low</v>
      </c>
    </row>
    <row r="17" spans="1:31" x14ac:dyDescent="0.25">
      <c r="A17" s="6" t="s">
        <v>86</v>
      </c>
      <c r="B17" s="5" t="s">
        <v>87</v>
      </c>
      <c r="C17" s="5" t="s">
        <v>83</v>
      </c>
      <c r="D17" s="5" t="s">
        <v>83</v>
      </c>
      <c r="E17" s="5">
        <v>26517</v>
      </c>
      <c r="F17" s="5">
        <v>85.4</v>
      </c>
      <c r="G17" s="5">
        <v>3429</v>
      </c>
      <c r="H17" s="5">
        <v>49</v>
      </c>
      <c r="I17" s="5">
        <v>1680</v>
      </c>
      <c r="J17" s="5">
        <v>1310</v>
      </c>
      <c r="K17" s="5">
        <v>54642</v>
      </c>
      <c r="L17" s="5">
        <v>277</v>
      </c>
      <c r="M17" s="5">
        <v>222</v>
      </c>
      <c r="N17" s="5">
        <v>80.2</v>
      </c>
      <c r="O17" s="5">
        <v>28.4</v>
      </c>
      <c r="P17" s="5">
        <v>276.60000000000002</v>
      </c>
      <c r="Q17" s="5">
        <v>70.400000000000006</v>
      </c>
      <c r="R17" s="5">
        <v>5</v>
      </c>
      <c r="S17" s="5">
        <v>5</v>
      </c>
      <c r="T17" s="5">
        <v>0</v>
      </c>
      <c r="U17" s="5">
        <v>27</v>
      </c>
      <c r="V17" s="5">
        <v>21</v>
      </c>
      <c r="W17" s="5">
        <v>75.599999999999994</v>
      </c>
      <c r="X17" s="5">
        <v>1048</v>
      </c>
      <c r="Y17" s="5">
        <v>22.1</v>
      </c>
      <c r="Z17" s="5">
        <v>194.98</v>
      </c>
      <c r="AA17" s="5">
        <v>57.8</v>
      </c>
      <c r="AB17" s="7" t="s">
        <v>54</v>
      </c>
      <c r="AC17" s="15">
        <f>AVERAGE(Table1[[#This Row],[Internet_4G_Coverage_Pct]],Table1[[#This Row],[Pucca_Road_Pct]],Table1[[#This Row],[JJM_Functional_Tap_Connections_Pct]])</f>
        <v>40.300000000000004</v>
      </c>
      <c r="AD17" s="16">
        <f>(Table1[BPL_Households_Pct]+Table1[MGNREGS_Person_Days_FY2425]/Table1[Electorate_2023])/2</f>
        <v>25.530320171965155</v>
      </c>
      <c r="AE17" s="16" t="str">
        <f>IF(Table1[Constituency_Fund_Utilized_Pct]&lt;60,"Low","High")</f>
        <v>Low</v>
      </c>
    </row>
    <row r="18" spans="1:31" x14ac:dyDescent="0.25">
      <c r="A18" s="6" t="s">
        <v>131</v>
      </c>
      <c r="B18" s="5" t="s">
        <v>132</v>
      </c>
      <c r="C18" s="5" t="s">
        <v>133</v>
      </c>
      <c r="D18" s="5" t="s">
        <v>118</v>
      </c>
      <c r="E18" s="5">
        <v>15049</v>
      </c>
      <c r="F18" s="5">
        <v>81.099999999999994</v>
      </c>
      <c r="G18" s="5">
        <v>2172</v>
      </c>
      <c r="H18" s="5">
        <v>45.5</v>
      </c>
      <c r="I18" s="5">
        <v>988</v>
      </c>
      <c r="J18" s="5">
        <v>787</v>
      </c>
      <c r="K18" s="5">
        <v>57145</v>
      </c>
      <c r="L18" s="5">
        <v>94</v>
      </c>
      <c r="M18" s="5">
        <v>52</v>
      </c>
      <c r="N18" s="5">
        <v>56</v>
      </c>
      <c r="O18" s="5">
        <v>23.4</v>
      </c>
      <c r="P18" s="5">
        <v>292.2</v>
      </c>
      <c r="Q18" s="5">
        <v>52.7</v>
      </c>
      <c r="R18" s="5">
        <v>9</v>
      </c>
      <c r="S18" s="5">
        <v>6</v>
      </c>
      <c r="T18" s="5">
        <v>0</v>
      </c>
      <c r="U18" s="5">
        <v>48</v>
      </c>
      <c r="V18" s="5">
        <v>17</v>
      </c>
      <c r="W18" s="5">
        <v>81.599999999999994</v>
      </c>
      <c r="X18" s="5">
        <v>339</v>
      </c>
      <c r="Y18" s="5">
        <v>69.099999999999994</v>
      </c>
      <c r="Z18" s="5">
        <v>116.26</v>
      </c>
      <c r="AA18" s="5">
        <v>58.5</v>
      </c>
      <c r="AB18" s="7" t="s">
        <v>59</v>
      </c>
      <c r="AC18" s="15">
        <f>AVERAGE(Table1[[#This Row],[Internet_4G_Coverage_Pct]],Table1[[#This Row],[Pucca_Road_Pct]],Table1[[#This Row],[JJM_Functional_Tap_Connections_Pct]])</f>
        <v>48.4</v>
      </c>
      <c r="AD18" s="16">
        <f>(Table1[BPL_Households_Pct]+Table1[MGNREGS_Person_Days_FY2425]/Table1[Electorate_2023])/2</f>
        <v>24.648631138281612</v>
      </c>
      <c r="AE18" s="16" t="str">
        <f>IF(Table1[Constituency_Fund_Utilized_Pct]&lt;60,"Low","High")</f>
        <v>Low</v>
      </c>
    </row>
    <row r="19" spans="1:31" x14ac:dyDescent="0.25">
      <c r="A19" s="6" t="s">
        <v>143</v>
      </c>
      <c r="B19" s="5" t="s">
        <v>144</v>
      </c>
      <c r="C19" s="5" t="s">
        <v>140</v>
      </c>
      <c r="D19" s="5" t="s">
        <v>118</v>
      </c>
      <c r="E19" s="5">
        <v>15135</v>
      </c>
      <c r="F19" s="5">
        <v>77.5</v>
      </c>
      <c r="G19" s="5">
        <v>2130</v>
      </c>
      <c r="H19" s="5">
        <v>37.799999999999997</v>
      </c>
      <c r="I19" s="5">
        <v>805</v>
      </c>
      <c r="J19" s="5">
        <v>682</v>
      </c>
      <c r="K19" s="5">
        <v>38343</v>
      </c>
      <c r="L19" s="5">
        <v>115</v>
      </c>
      <c r="M19" s="5">
        <v>84</v>
      </c>
      <c r="N19" s="5">
        <v>73.5</v>
      </c>
      <c r="O19" s="5">
        <v>27.6</v>
      </c>
      <c r="P19" s="5">
        <v>248.4</v>
      </c>
      <c r="Q19" s="5">
        <v>65.5</v>
      </c>
      <c r="R19" s="5">
        <v>8</v>
      </c>
      <c r="S19" s="5">
        <v>4</v>
      </c>
      <c r="T19" s="5">
        <v>1</v>
      </c>
      <c r="U19" s="5">
        <v>22</v>
      </c>
      <c r="V19" s="5">
        <v>16</v>
      </c>
      <c r="W19" s="5">
        <v>66.8</v>
      </c>
      <c r="X19" s="5">
        <v>308</v>
      </c>
      <c r="Y19" s="5">
        <v>41</v>
      </c>
      <c r="Z19" s="5">
        <v>134.41999999999999</v>
      </c>
      <c r="AA19" s="5">
        <v>59</v>
      </c>
      <c r="AB19" s="7" t="s">
        <v>59</v>
      </c>
      <c r="AC19" s="15">
        <f>AVERAGE(Table1[[#This Row],[Internet_4G_Coverage_Pct]],Table1[[#This Row],[Pucca_Road_Pct]],Table1[[#This Row],[JJM_Functional_Tap_Connections_Pct]])</f>
        <v>44.699999999999996</v>
      </c>
      <c r="AD19" s="16">
        <f>(Table1[BPL_Households_Pct]+Table1[MGNREGS_Person_Days_FY2425]/Table1[Electorate_2023])/2</f>
        <v>20.166699702675917</v>
      </c>
      <c r="AE19" s="16" t="str">
        <f>IF(Table1[Constituency_Fund_Utilized_Pct]&lt;60,"Low","High")</f>
        <v>Low</v>
      </c>
    </row>
    <row r="20" spans="1:31" x14ac:dyDescent="0.25">
      <c r="A20" s="6" t="s">
        <v>145</v>
      </c>
      <c r="B20" s="5" t="s">
        <v>146</v>
      </c>
      <c r="C20" s="5" t="s">
        <v>140</v>
      </c>
      <c r="D20" s="5" t="s">
        <v>118</v>
      </c>
      <c r="E20" s="5">
        <v>23265</v>
      </c>
      <c r="F20" s="5">
        <v>91.1</v>
      </c>
      <c r="G20" s="5">
        <v>3150</v>
      </c>
      <c r="H20" s="5">
        <v>30.7</v>
      </c>
      <c r="I20" s="5">
        <v>967</v>
      </c>
      <c r="J20" s="5">
        <v>556</v>
      </c>
      <c r="K20" s="5">
        <v>29064</v>
      </c>
      <c r="L20" s="5">
        <v>178</v>
      </c>
      <c r="M20" s="5">
        <v>111</v>
      </c>
      <c r="N20" s="5">
        <v>62.5</v>
      </c>
      <c r="O20" s="5">
        <v>29.3</v>
      </c>
      <c r="P20" s="5">
        <v>94.4</v>
      </c>
      <c r="Q20" s="5">
        <v>70.099999999999994</v>
      </c>
      <c r="R20" s="5">
        <v>12</v>
      </c>
      <c r="S20" s="5">
        <v>6</v>
      </c>
      <c r="T20" s="5">
        <v>0</v>
      </c>
      <c r="U20" s="5">
        <v>34</v>
      </c>
      <c r="V20" s="5">
        <v>14</v>
      </c>
      <c r="W20" s="5">
        <v>80.7</v>
      </c>
      <c r="X20" s="5">
        <v>1128</v>
      </c>
      <c r="Y20" s="5">
        <v>20.8</v>
      </c>
      <c r="Z20" s="5">
        <v>192.94</v>
      </c>
      <c r="AA20" s="5">
        <v>59.5</v>
      </c>
      <c r="AB20" s="7" t="s">
        <v>59</v>
      </c>
      <c r="AC20" s="15">
        <f>AVERAGE(Table1[[#This Row],[Internet_4G_Coverage_Pct]],Table1[[#This Row],[Pucca_Road_Pct]],Table1[[#This Row],[JJM_Functional_Tap_Connections_Pct]])</f>
        <v>40.066666666666663</v>
      </c>
      <c r="AD20" s="16">
        <f>(Table1[BPL_Households_Pct]+Table1[MGNREGS_Person_Days_FY2425]/Table1[Electorate_2023])/2</f>
        <v>15.974629271437781</v>
      </c>
      <c r="AE20" s="16" t="str">
        <f>IF(Table1[Constituency_Fund_Utilized_Pct]&lt;60,"Low","High")</f>
        <v>Low</v>
      </c>
    </row>
    <row r="21" spans="1:31" x14ac:dyDescent="0.25">
      <c r="A21" s="6" t="s">
        <v>100</v>
      </c>
      <c r="B21" s="5" t="s">
        <v>101</v>
      </c>
      <c r="C21" s="5" t="s">
        <v>94</v>
      </c>
      <c r="D21" s="5" t="s">
        <v>95</v>
      </c>
      <c r="E21" s="5">
        <v>24130</v>
      </c>
      <c r="F21" s="5">
        <v>81.8</v>
      </c>
      <c r="G21" s="5">
        <v>3599</v>
      </c>
      <c r="H21" s="5">
        <v>32.6</v>
      </c>
      <c r="I21" s="5">
        <v>1173</v>
      </c>
      <c r="J21" s="5">
        <v>930</v>
      </c>
      <c r="K21" s="5">
        <v>67857</v>
      </c>
      <c r="L21" s="5">
        <v>107</v>
      </c>
      <c r="M21" s="5">
        <v>60</v>
      </c>
      <c r="N21" s="5">
        <v>56.7</v>
      </c>
      <c r="O21" s="5">
        <v>53.3</v>
      </c>
      <c r="P21" s="5">
        <v>179.9</v>
      </c>
      <c r="Q21" s="5">
        <v>54.2</v>
      </c>
      <c r="R21" s="5">
        <v>9</v>
      </c>
      <c r="S21" s="5">
        <v>5</v>
      </c>
      <c r="T21" s="5">
        <v>1</v>
      </c>
      <c r="U21" s="5">
        <v>36</v>
      </c>
      <c r="V21" s="5">
        <v>17</v>
      </c>
      <c r="W21" s="5">
        <v>65.7</v>
      </c>
      <c r="X21" s="5">
        <v>963</v>
      </c>
      <c r="Y21" s="5">
        <v>21.3</v>
      </c>
      <c r="Z21" s="5">
        <v>150.62</v>
      </c>
      <c r="AA21" s="5">
        <v>59.9</v>
      </c>
      <c r="AB21" s="7" t="s">
        <v>54</v>
      </c>
      <c r="AC21" s="15">
        <f>AVERAGE(Table1[[#This Row],[Internet_4G_Coverage_Pct]],Table1[[#This Row],[Pucca_Road_Pct]],Table1[[#This Row],[JJM_Functional_Tap_Connections_Pct]])</f>
        <v>42.933333333333337</v>
      </c>
      <c r="AD21" s="16">
        <f>(Table1[BPL_Households_Pct]+Table1[MGNREGS_Person_Days_FY2425]/Table1[Electorate_2023])/2</f>
        <v>17.706071280563613</v>
      </c>
      <c r="AE21" s="16" t="str">
        <f>IF(Table1[Constituency_Fund_Utilized_Pct]&lt;60,"Low","High")</f>
        <v>Low</v>
      </c>
    </row>
    <row r="22" spans="1:31" x14ac:dyDescent="0.25">
      <c r="A22" s="6" t="s">
        <v>70</v>
      </c>
      <c r="B22" s="5" t="s">
        <v>71</v>
      </c>
      <c r="C22" s="5" t="s">
        <v>72</v>
      </c>
      <c r="D22" s="5" t="s">
        <v>29</v>
      </c>
      <c r="E22" s="5">
        <v>21688</v>
      </c>
      <c r="F22" s="5">
        <v>80</v>
      </c>
      <c r="G22" s="5">
        <v>2961</v>
      </c>
      <c r="H22" s="5">
        <v>40.6</v>
      </c>
      <c r="I22" s="5">
        <v>1202</v>
      </c>
      <c r="J22" s="5">
        <v>1000</v>
      </c>
      <c r="K22" s="5">
        <v>62092</v>
      </c>
      <c r="L22" s="5">
        <v>248</v>
      </c>
      <c r="M22" s="5">
        <v>183</v>
      </c>
      <c r="N22" s="5">
        <v>73.900000000000006</v>
      </c>
      <c r="O22" s="5">
        <v>38.9</v>
      </c>
      <c r="P22" s="5">
        <v>211.5</v>
      </c>
      <c r="Q22" s="5">
        <v>28</v>
      </c>
      <c r="R22" s="5">
        <v>11</v>
      </c>
      <c r="S22" s="5">
        <v>2</v>
      </c>
      <c r="T22" s="5">
        <v>1</v>
      </c>
      <c r="U22" s="5">
        <v>45</v>
      </c>
      <c r="V22" s="5">
        <v>22</v>
      </c>
      <c r="W22" s="5">
        <v>75</v>
      </c>
      <c r="X22" s="5">
        <v>519</v>
      </c>
      <c r="Y22" s="5">
        <v>43.6</v>
      </c>
      <c r="Z22" s="5">
        <v>135.80000000000001</v>
      </c>
      <c r="AA22" s="5">
        <v>60.7</v>
      </c>
      <c r="AB22" s="7" t="s">
        <v>54</v>
      </c>
      <c r="AC22" s="15">
        <f>AVERAGE(Table1[[#This Row],[Internet_4G_Coverage_Pct]],Table1[[#This Row],[Pucca_Road_Pct]],Table1[[#This Row],[JJM_Functional_Tap_Connections_Pct]])</f>
        <v>36.833333333333336</v>
      </c>
      <c r="AD22" s="16">
        <f>(Table1[BPL_Households_Pct]+Table1[MGNREGS_Person_Days_FY2425]/Table1[Electorate_2023])/2</f>
        <v>21.731482847657691</v>
      </c>
      <c r="AE22" s="16" t="str">
        <f>IF(Table1[Constituency_Fund_Utilized_Pct]&lt;60,"Low","High")</f>
        <v>High</v>
      </c>
    </row>
    <row r="23" spans="1:31" x14ac:dyDescent="0.25">
      <c r="A23" s="6" t="s">
        <v>123</v>
      </c>
      <c r="B23" s="5" t="s">
        <v>124</v>
      </c>
      <c r="C23" s="5" t="s">
        <v>117</v>
      </c>
      <c r="D23" s="5" t="s">
        <v>118</v>
      </c>
      <c r="E23" s="5">
        <v>59004</v>
      </c>
      <c r="F23" s="5">
        <v>66.3</v>
      </c>
      <c r="G23" s="5">
        <v>7018</v>
      </c>
      <c r="H23" s="5">
        <v>13.6</v>
      </c>
      <c r="I23" s="5">
        <v>954</v>
      </c>
      <c r="J23" s="5">
        <v>220</v>
      </c>
      <c r="K23" s="5">
        <v>7808</v>
      </c>
      <c r="L23" s="5">
        <v>108</v>
      </c>
      <c r="M23" s="5">
        <v>94</v>
      </c>
      <c r="N23" s="5">
        <v>87.9</v>
      </c>
      <c r="O23" s="5">
        <v>66.7</v>
      </c>
      <c r="P23" s="5">
        <v>62.7</v>
      </c>
      <c r="Q23" s="5">
        <v>76.3</v>
      </c>
      <c r="R23" s="5">
        <v>5</v>
      </c>
      <c r="S23" s="5">
        <v>6</v>
      </c>
      <c r="T23" s="5">
        <v>0</v>
      </c>
      <c r="U23" s="5">
        <v>37</v>
      </c>
      <c r="V23" s="5">
        <v>12</v>
      </c>
      <c r="W23" s="5">
        <v>91.5</v>
      </c>
      <c r="X23" s="5">
        <v>334</v>
      </c>
      <c r="Y23" s="5">
        <v>80.3</v>
      </c>
      <c r="Z23" s="5">
        <v>98.96</v>
      </c>
      <c r="AA23" s="5">
        <v>60.7</v>
      </c>
      <c r="AB23" s="7" t="s">
        <v>30</v>
      </c>
      <c r="AC23" s="15">
        <f>AVERAGE(Table1[[#This Row],[Internet_4G_Coverage_Pct]],Table1[[#This Row],[Pucca_Road_Pct]],Table1[[#This Row],[JJM_Functional_Tap_Connections_Pct]])</f>
        <v>74.433333333333337</v>
      </c>
      <c r="AD23" s="16">
        <f>(Table1[BPL_Households_Pct]+Table1[MGNREGS_Person_Days_FY2425]/Table1[Electorate_2023])/2</f>
        <v>6.8661650057623209</v>
      </c>
      <c r="AE23" s="16" t="str">
        <f>IF(Table1[Constituency_Fund_Utilized_Pct]&lt;60,"Low","High")</f>
        <v>High</v>
      </c>
    </row>
    <row r="24" spans="1:31" x14ac:dyDescent="0.25">
      <c r="A24" s="6" t="s">
        <v>134</v>
      </c>
      <c r="B24" s="5" t="s">
        <v>135</v>
      </c>
      <c r="C24" s="5" t="s">
        <v>133</v>
      </c>
      <c r="D24" s="5" t="s">
        <v>118</v>
      </c>
      <c r="E24" s="5">
        <v>27142</v>
      </c>
      <c r="F24" s="5">
        <v>74.3</v>
      </c>
      <c r="G24" s="5">
        <v>4322</v>
      </c>
      <c r="H24" s="5">
        <v>39.700000000000003</v>
      </c>
      <c r="I24" s="5">
        <v>1715</v>
      </c>
      <c r="J24" s="5">
        <v>1134</v>
      </c>
      <c r="K24" s="5">
        <v>82753</v>
      </c>
      <c r="L24" s="5">
        <v>304</v>
      </c>
      <c r="M24" s="5">
        <v>213</v>
      </c>
      <c r="N24" s="5">
        <v>70.400000000000006</v>
      </c>
      <c r="O24" s="5">
        <v>54.9</v>
      </c>
      <c r="P24" s="5">
        <v>254.4</v>
      </c>
      <c r="Q24" s="5">
        <v>67</v>
      </c>
      <c r="R24" s="5">
        <v>5</v>
      </c>
      <c r="S24" s="5">
        <v>4</v>
      </c>
      <c r="T24" s="5">
        <v>2</v>
      </c>
      <c r="U24" s="5">
        <v>34</v>
      </c>
      <c r="V24" s="5">
        <v>11</v>
      </c>
      <c r="W24" s="5">
        <v>58.9</v>
      </c>
      <c r="X24" s="5">
        <v>1586</v>
      </c>
      <c r="Y24" s="5">
        <v>64.2</v>
      </c>
      <c r="Z24" s="5">
        <v>124.46</v>
      </c>
      <c r="AA24" s="5">
        <v>60.8</v>
      </c>
      <c r="AB24" s="7" t="s">
        <v>54</v>
      </c>
      <c r="AC24" s="15">
        <f>AVERAGE(Table1[[#This Row],[Internet_4G_Coverage_Pct]],Table1[[#This Row],[Pucca_Road_Pct]],Table1[[#This Row],[JJM_Functional_Tap_Connections_Pct]])</f>
        <v>62.033333333333331</v>
      </c>
      <c r="AD24" s="16">
        <f>(Table1[BPL_Households_Pct]+Table1[MGNREGS_Person_Days_FY2425]/Table1[Electorate_2023])/2</f>
        <v>21.374445508805543</v>
      </c>
      <c r="AE24" s="16" t="str">
        <f>IF(Table1[Constituency_Fund_Utilized_Pct]&lt;60,"Low","High")</f>
        <v>High</v>
      </c>
    </row>
    <row r="25" spans="1:31" x14ac:dyDescent="0.25">
      <c r="A25" s="6" t="s">
        <v>64</v>
      </c>
      <c r="B25" s="5" t="s">
        <v>65</v>
      </c>
      <c r="C25" s="5" t="s">
        <v>28</v>
      </c>
      <c r="D25" s="5" t="s">
        <v>29</v>
      </c>
      <c r="E25" s="5">
        <v>16064</v>
      </c>
      <c r="F25" s="5">
        <v>90.5</v>
      </c>
      <c r="G25" s="5">
        <v>2264</v>
      </c>
      <c r="H25" s="5">
        <v>52</v>
      </c>
      <c r="I25" s="5">
        <v>1177</v>
      </c>
      <c r="J25" s="5">
        <v>709</v>
      </c>
      <c r="K25" s="5">
        <v>36507</v>
      </c>
      <c r="L25" s="5">
        <v>123</v>
      </c>
      <c r="M25" s="5">
        <v>108</v>
      </c>
      <c r="N25" s="5">
        <v>88.5</v>
      </c>
      <c r="O25" s="5">
        <v>65.8</v>
      </c>
      <c r="P25" s="5">
        <v>178.8</v>
      </c>
      <c r="Q25" s="5">
        <v>57.5</v>
      </c>
      <c r="R25" s="5">
        <v>9</v>
      </c>
      <c r="S25" s="5">
        <v>3</v>
      </c>
      <c r="T25" s="5">
        <v>0</v>
      </c>
      <c r="U25" s="5">
        <v>52</v>
      </c>
      <c r="V25" s="5">
        <v>6</v>
      </c>
      <c r="W25" s="5">
        <v>67.900000000000006</v>
      </c>
      <c r="X25" s="5">
        <v>389</v>
      </c>
      <c r="Y25" s="5">
        <v>67.599999999999994</v>
      </c>
      <c r="Z25" s="5">
        <v>84.65</v>
      </c>
      <c r="AA25" s="5">
        <v>62.6</v>
      </c>
      <c r="AB25" s="7" t="s">
        <v>59</v>
      </c>
      <c r="AC25" s="15">
        <f>AVERAGE(Table1[[#This Row],[Internet_4G_Coverage_Pct]],Table1[[#This Row],[Pucca_Road_Pct]],Table1[[#This Row],[JJM_Functional_Tap_Connections_Pct]])</f>
        <v>63.633333333333326</v>
      </c>
      <c r="AD25" s="16">
        <f>(Table1[BPL_Households_Pct]+Table1[MGNREGS_Person_Days_FY2425]/Table1[Electorate_2023])/2</f>
        <v>27.136298555776893</v>
      </c>
      <c r="AE25" s="16" t="str">
        <f>IF(Table1[Constituency_Fund_Utilized_Pct]&lt;60,"Low","High")</f>
        <v>High</v>
      </c>
    </row>
    <row r="26" spans="1:31" x14ac:dyDescent="0.25">
      <c r="A26" s="6" t="s">
        <v>157</v>
      </c>
      <c r="B26" s="5" t="s">
        <v>158</v>
      </c>
      <c r="C26" s="5" t="s">
        <v>156</v>
      </c>
      <c r="D26" s="5" t="s">
        <v>118</v>
      </c>
      <c r="E26" s="5">
        <v>24272</v>
      </c>
      <c r="F26" s="5">
        <v>72.400000000000006</v>
      </c>
      <c r="G26" s="5">
        <v>4051</v>
      </c>
      <c r="H26" s="5">
        <v>46.5</v>
      </c>
      <c r="I26" s="5">
        <v>1883</v>
      </c>
      <c r="J26" s="5">
        <v>1505</v>
      </c>
      <c r="K26" s="5">
        <v>108045</v>
      </c>
      <c r="L26" s="5">
        <v>173</v>
      </c>
      <c r="M26" s="5">
        <v>146</v>
      </c>
      <c r="N26" s="5">
        <v>84.7</v>
      </c>
      <c r="O26" s="5">
        <v>35.6</v>
      </c>
      <c r="P26" s="5">
        <v>221.3</v>
      </c>
      <c r="Q26" s="5">
        <v>51.1</v>
      </c>
      <c r="R26" s="5">
        <v>14</v>
      </c>
      <c r="S26" s="5">
        <v>3</v>
      </c>
      <c r="T26" s="5">
        <v>2</v>
      </c>
      <c r="U26" s="5">
        <v>29</v>
      </c>
      <c r="V26" s="5">
        <v>10</v>
      </c>
      <c r="W26" s="5">
        <v>66.7</v>
      </c>
      <c r="X26" s="5">
        <v>606</v>
      </c>
      <c r="Y26" s="5">
        <v>45.5</v>
      </c>
      <c r="Z26" s="5">
        <v>100.18</v>
      </c>
      <c r="AA26" s="5">
        <v>65.2</v>
      </c>
      <c r="AB26" s="7" t="s">
        <v>59</v>
      </c>
      <c r="AC26" s="15">
        <f>AVERAGE(Table1[[#This Row],[Internet_4G_Coverage_Pct]],Table1[[#This Row],[Pucca_Road_Pct]],Table1[[#This Row],[JJM_Functional_Tap_Connections_Pct]])</f>
        <v>44.066666666666663</v>
      </c>
      <c r="AD26" s="16">
        <f>(Table1[BPL_Households_Pct]+Table1[MGNREGS_Person_Days_FY2425]/Table1[Electorate_2023])/2</f>
        <v>25.475712755438366</v>
      </c>
      <c r="AE26" s="16" t="str">
        <f>IF(Table1[Constituency_Fund_Utilized_Pct]&lt;60,"Low","High")</f>
        <v>High</v>
      </c>
    </row>
    <row r="27" spans="1:31" x14ac:dyDescent="0.25">
      <c r="A27" s="6" t="s">
        <v>109</v>
      </c>
      <c r="B27" s="5" t="s">
        <v>110</v>
      </c>
      <c r="C27" s="5" t="s">
        <v>108</v>
      </c>
      <c r="D27" s="5" t="s">
        <v>95</v>
      </c>
      <c r="E27" s="5">
        <v>21921</v>
      </c>
      <c r="F27" s="5">
        <v>78.400000000000006</v>
      </c>
      <c r="G27" s="5">
        <v>3233</v>
      </c>
      <c r="H27" s="5">
        <v>40.299999999999997</v>
      </c>
      <c r="I27" s="5">
        <v>1302</v>
      </c>
      <c r="J27" s="5">
        <v>909</v>
      </c>
      <c r="K27" s="5">
        <v>55906</v>
      </c>
      <c r="L27" s="5">
        <v>177</v>
      </c>
      <c r="M27" s="5">
        <v>142</v>
      </c>
      <c r="N27" s="5">
        <v>80.7</v>
      </c>
      <c r="O27" s="5">
        <v>24.1</v>
      </c>
      <c r="P27" s="5">
        <v>101.1</v>
      </c>
      <c r="Q27" s="5">
        <v>39.1</v>
      </c>
      <c r="R27" s="5">
        <v>5</v>
      </c>
      <c r="S27" s="5">
        <v>4</v>
      </c>
      <c r="T27" s="5">
        <v>2</v>
      </c>
      <c r="U27" s="5">
        <v>8</v>
      </c>
      <c r="V27" s="5">
        <v>20</v>
      </c>
      <c r="W27" s="5">
        <v>70</v>
      </c>
      <c r="X27" s="5">
        <v>911</v>
      </c>
      <c r="Y27" s="5">
        <v>44.9</v>
      </c>
      <c r="Z27" s="5">
        <v>86.5</v>
      </c>
      <c r="AA27" s="5">
        <v>65.7</v>
      </c>
      <c r="AB27" s="7" t="s">
        <v>51</v>
      </c>
      <c r="AC27" s="15">
        <f>AVERAGE(Table1[[#This Row],[Internet_4G_Coverage_Pct]],Table1[[#This Row],[Pucca_Road_Pct]],Table1[[#This Row],[JJM_Functional_Tap_Connections_Pct]])</f>
        <v>36.033333333333331</v>
      </c>
      <c r="AD27" s="16">
        <f>(Table1[BPL_Households_Pct]+Table1[MGNREGS_Person_Days_FY2425]/Table1[Electorate_2023])/2</f>
        <v>21.425169928379177</v>
      </c>
      <c r="AE27" s="16" t="str">
        <f>IF(Table1[Constituency_Fund_Utilized_Pct]&lt;60,"Low","High")</f>
        <v>High</v>
      </c>
    </row>
    <row r="28" spans="1:31" x14ac:dyDescent="0.25">
      <c r="A28" s="6" t="s">
        <v>42</v>
      </c>
      <c r="B28" s="5" t="s">
        <v>43</v>
      </c>
      <c r="C28" s="5" t="s">
        <v>28</v>
      </c>
      <c r="D28" s="5" t="s">
        <v>29</v>
      </c>
      <c r="E28" s="5">
        <v>53243</v>
      </c>
      <c r="F28" s="5">
        <v>64.8</v>
      </c>
      <c r="G28" s="5">
        <v>8378</v>
      </c>
      <c r="H28" s="5">
        <v>31.7</v>
      </c>
      <c r="I28" s="5">
        <v>2655</v>
      </c>
      <c r="J28" s="5">
        <v>586</v>
      </c>
      <c r="K28" s="5">
        <v>15227</v>
      </c>
      <c r="L28" s="5">
        <v>301</v>
      </c>
      <c r="M28" s="5">
        <v>215</v>
      </c>
      <c r="N28" s="5">
        <v>71.7</v>
      </c>
      <c r="O28" s="5">
        <v>64.599999999999994</v>
      </c>
      <c r="P28" s="5">
        <v>78.900000000000006</v>
      </c>
      <c r="Q28" s="5">
        <v>90.4</v>
      </c>
      <c r="R28" s="5">
        <v>7</v>
      </c>
      <c r="S28" s="5">
        <v>2</v>
      </c>
      <c r="T28" s="5">
        <v>0</v>
      </c>
      <c r="U28" s="5">
        <v>50</v>
      </c>
      <c r="V28" s="5">
        <v>18</v>
      </c>
      <c r="W28" s="5">
        <v>95.3</v>
      </c>
      <c r="X28" s="5">
        <v>574</v>
      </c>
      <c r="Y28" s="5">
        <v>96.5</v>
      </c>
      <c r="Z28" s="5">
        <v>99.82</v>
      </c>
      <c r="AA28" s="5">
        <v>66.3</v>
      </c>
      <c r="AB28" s="7" t="s">
        <v>30</v>
      </c>
      <c r="AC28" s="15">
        <f>AVERAGE(Table1[[#This Row],[Internet_4G_Coverage_Pct]],Table1[[#This Row],[Pucca_Road_Pct]],Table1[[#This Row],[JJM_Functional_Tap_Connections_Pct]])</f>
        <v>83.833333333333329</v>
      </c>
      <c r="AD28" s="16">
        <f>(Table1[BPL_Households_Pct]+Table1[MGNREGS_Person_Days_FY2425]/Table1[Electorate_2023])/2</f>
        <v>15.992995323328888</v>
      </c>
      <c r="AE28" s="16" t="str">
        <f>IF(Table1[Constituency_Fund_Utilized_Pct]&lt;60,"Low","High")</f>
        <v>High</v>
      </c>
    </row>
    <row r="29" spans="1:31" x14ac:dyDescent="0.25">
      <c r="A29" s="6" t="s">
        <v>36</v>
      </c>
      <c r="B29" s="5" t="s">
        <v>37</v>
      </c>
      <c r="C29" s="5" t="s">
        <v>28</v>
      </c>
      <c r="D29" s="5" t="s">
        <v>29</v>
      </c>
      <c r="E29" s="5">
        <v>53252</v>
      </c>
      <c r="F29" s="5">
        <v>71.900000000000006</v>
      </c>
      <c r="G29" s="5">
        <v>6493</v>
      </c>
      <c r="H29" s="5">
        <v>12.6</v>
      </c>
      <c r="I29" s="5">
        <v>818</v>
      </c>
      <c r="J29" s="5">
        <v>120</v>
      </c>
      <c r="K29" s="5">
        <v>3203</v>
      </c>
      <c r="L29" s="5">
        <v>89</v>
      </c>
      <c r="M29" s="5">
        <v>79</v>
      </c>
      <c r="N29" s="5">
        <v>89.3</v>
      </c>
      <c r="O29" s="5">
        <v>90.9</v>
      </c>
      <c r="P29" s="5">
        <v>53.9</v>
      </c>
      <c r="Q29" s="5">
        <v>86.4</v>
      </c>
      <c r="R29" s="5">
        <v>6</v>
      </c>
      <c r="S29" s="5">
        <v>6</v>
      </c>
      <c r="T29" s="5">
        <v>1</v>
      </c>
      <c r="U29" s="5">
        <v>17</v>
      </c>
      <c r="V29" s="5">
        <v>11</v>
      </c>
      <c r="W29" s="5">
        <v>84</v>
      </c>
      <c r="X29" s="5">
        <v>517</v>
      </c>
      <c r="Y29" s="5">
        <v>73.400000000000006</v>
      </c>
      <c r="Z29" s="5">
        <v>169.4</v>
      </c>
      <c r="AA29" s="5">
        <v>67</v>
      </c>
      <c r="AB29" s="7" t="s">
        <v>30</v>
      </c>
      <c r="AC29" s="15">
        <f>AVERAGE(Table1[[#This Row],[Internet_4G_Coverage_Pct]],Table1[[#This Row],[Pucca_Road_Pct]],Table1[[#This Row],[JJM_Functional_Tap_Connections_Pct]])</f>
        <v>83.566666666666677</v>
      </c>
      <c r="AD29" s="16">
        <f>(Table1[BPL_Households_Pct]+Table1[MGNREGS_Person_Days_FY2425]/Table1[Electorate_2023])/2</f>
        <v>6.3300739878314429</v>
      </c>
      <c r="AE29" s="16" t="str">
        <f>IF(Table1[Constituency_Fund_Utilized_Pct]&lt;60,"Low","High")</f>
        <v>High</v>
      </c>
    </row>
    <row r="30" spans="1:31" x14ac:dyDescent="0.25">
      <c r="A30" s="6" t="s">
        <v>62</v>
      </c>
      <c r="B30" s="5" t="s">
        <v>63</v>
      </c>
      <c r="C30" s="5" t="s">
        <v>28</v>
      </c>
      <c r="D30" s="5" t="s">
        <v>29</v>
      </c>
      <c r="E30" s="5">
        <v>60028</v>
      </c>
      <c r="F30" s="5">
        <v>66.2</v>
      </c>
      <c r="G30" s="5">
        <v>11211</v>
      </c>
      <c r="H30" s="5">
        <v>25.8</v>
      </c>
      <c r="I30" s="5">
        <v>2892</v>
      </c>
      <c r="J30" s="5">
        <v>353</v>
      </c>
      <c r="K30" s="5">
        <v>7377</v>
      </c>
      <c r="L30" s="5">
        <v>380</v>
      </c>
      <c r="M30" s="5">
        <v>269</v>
      </c>
      <c r="N30" s="5">
        <v>71</v>
      </c>
      <c r="O30" s="5">
        <v>76.2</v>
      </c>
      <c r="P30" s="5">
        <v>37.5</v>
      </c>
      <c r="Q30" s="5">
        <v>79.099999999999994</v>
      </c>
      <c r="R30" s="5">
        <v>3</v>
      </c>
      <c r="S30" s="5">
        <v>3</v>
      </c>
      <c r="T30" s="5">
        <v>0</v>
      </c>
      <c r="U30" s="5">
        <v>51</v>
      </c>
      <c r="V30" s="5">
        <v>10</v>
      </c>
      <c r="W30" s="5">
        <v>91.3</v>
      </c>
      <c r="X30" s="5">
        <v>1008</v>
      </c>
      <c r="Y30" s="5">
        <v>96.9</v>
      </c>
      <c r="Z30" s="5">
        <v>122.44</v>
      </c>
      <c r="AA30" s="5">
        <v>68.400000000000006</v>
      </c>
      <c r="AB30" s="7" t="s">
        <v>30</v>
      </c>
      <c r="AC30" s="15">
        <f>AVERAGE(Table1[[#This Row],[Internet_4G_Coverage_Pct]],Table1[[#This Row],[Pucca_Road_Pct]],Table1[[#This Row],[JJM_Functional_Tap_Connections_Pct]])</f>
        <v>84.066666666666663</v>
      </c>
      <c r="AD30" s="16">
        <f>(Table1[BPL_Households_Pct]+Table1[MGNREGS_Person_Days_FY2425]/Table1[Electorate_2023])/2</f>
        <v>12.961446325048311</v>
      </c>
      <c r="AE30" s="16" t="str">
        <f>IF(Table1[Constituency_Fund_Utilized_Pct]&lt;60,"Low","High")</f>
        <v>High</v>
      </c>
    </row>
    <row r="31" spans="1:31" x14ac:dyDescent="0.25">
      <c r="A31" s="6" t="s">
        <v>154</v>
      </c>
      <c r="B31" s="5" t="s">
        <v>155</v>
      </c>
      <c r="C31" s="5" t="s">
        <v>156</v>
      </c>
      <c r="D31" s="5" t="s">
        <v>118</v>
      </c>
      <c r="E31" s="5">
        <v>19372</v>
      </c>
      <c r="F31" s="5">
        <v>77.8</v>
      </c>
      <c r="G31" s="5">
        <v>3170</v>
      </c>
      <c r="H31" s="5">
        <v>40.9</v>
      </c>
      <c r="I31" s="5">
        <v>1296</v>
      </c>
      <c r="J31" s="5">
        <v>763</v>
      </c>
      <c r="K31" s="5">
        <v>42959</v>
      </c>
      <c r="L31" s="5">
        <v>145</v>
      </c>
      <c r="M31" s="5">
        <v>103</v>
      </c>
      <c r="N31" s="5">
        <v>71.3</v>
      </c>
      <c r="O31" s="5">
        <v>59.4</v>
      </c>
      <c r="P31" s="5">
        <v>165</v>
      </c>
      <c r="Q31" s="5">
        <v>45.5</v>
      </c>
      <c r="R31" s="5">
        <v>3</v>
      </c>
      <c r="S31" s="5">
        <v>4</v>
      </c>
      <c r="T31" s="5">
        <v>0</v>
      </c>
      <c r="U31" s="5">
        <v>37</v>
      </c>
      <c r="V31" s="5">
        <v>5</v>
      </c>
      <c r="W31" s="5">
        <v>80.400000000000006</v>
      </c>
      <c r="X31" s="5">
        <v>965</v>
      </c>
      <c r="Y31" s="5">
        <v>40.6</v>
      </c>
      <c r="Z31" s="5">
        <v>149.09</v>
      </c>
      <c r="AA31" s="5">
        <v>69.3</v>
      </c>
      <c r="AB31" s="7" t="s">
        <v>54</v>
      </c>
      <c r="AC31" s="15">
        <f>AVERAGE(Table1[[#This Row],[Internet_4G_Coverage_Pct]],Table1[[#This Row],[Pucca_Road_Pct]],Table1[[#This Row],[JJM_Functional_Tap_Connections_Pct]])</f>
        <v>48.5</v>
      </c>
      <c r="AD31" s="16">
        <f>(Table1[BPL_Households_Pct]+Table1[MGNREGS_Person_Days_FY2425]/Table1[Electorate_2023])/2</f>
        <v>21.55879103861243</v>
      </c>
      <c r="AE31" s="16" t="str">
        <f>IF(Table1[Constituency_Fund_Utilized_Pct]&lt;60,"Low","High")</f>
        <v>High</v>
      </c>
    </row>
    <row r="32" spans="1:31" x14ac:dyDescent="0.25">
      <c r="A32" s="6" t="s">
        <v>113</v>
      </c>
      <c r="B32" s="5" t="s">
        <v>114</v>
      </c>
      <c r="C32" s="5" t="s">
        <v>108</v>
      </c>
      <c r="D32" s="5" t="s">
        <v>95</v>
      </c>
      <c r="E32" s="5">
        <v>24614</v>
      </c>
      <c r="F32" s="5">
        <v>88.7</v>
      </c>
      <c r="G32" s="5">
        <v>2849</v>
      </c>
      <c r="H32" s="5">
        <v>44.5</v>
      </c>
      <c r="I32" s="5">
        <v>1267</v>
      </c>
      <c r="J32" s="5">
        <v>842</v>
      </c>
      <c r="K32" s="5">
        <v>60518</v>
      </c>
      <c r="L32" s="5">
        <v>191</v>
      </c>
      <c r="M32" s="5">
        <v>164</v>
      </c>
      <c r="N32" s="5">
        <v>86.3</v>
      </c>
      <c r="O32" s="5">
        <v>70.400000000000006</v>
      </c>
      <c r="P32" s="5">
        <v>146.30000000000001</v>
      </c>
      <c r="Q32" s="5">
        <v>62.8</v>
      </c>
      <c r="R32" s="5">
        <v>15</v>
      </c>
      <c r="S32" s="5">
        <v>3</v>
      </c>
      <c r="T32" s="5">
        <v>2</v>
      </c>
      <c r="U32" s="5">
        <v>25</v>
      </c>
      <c r="V32" s="5">
        <v>3</v>
      </c>
      <c r="W32" s="5">
        <v>65.400000000000006</v>
      </c>
      <c r="X32" s="5">
        <v>1081</v>
      </c>
      <c r="Y32" s="5">
        <v>44.4</v>
      </c>
      <c r="Z32" s="5">
        <v>115.83</v>
      </c>
      <c r="AA32" s="5">
        <v>70.2</v>
      </c>
      <c r="AB32" s="7" t="s">
        <v>54</v>
      </c>
      <c r="AC32" s="15">
        <f>AVERAGE(Table1[[#This Row],[Internet_4G_Coverage_Pct]],Table1[[#This Row],[Pucca_Road_Pct]],Table1[[#This Row],[JJM_Functional_Tap_Connections_Pct]])</f>
        <v>59.199999999999996</v>
      </c>
      <c r="AD32" s="16">
        <f>(Table1[BPL_Households_Pct]+Table1[MGNREGS_Person_Days_FY2425]/Table1[Electorate_2023])/2</f>
        <v>23.479341025432682</v>
      </c>
      <c r="AE32" s="16" t="str">
        <f>IF(Table1[Constituency_Fund_Utilized_Pct]&lt;60,"Low","High")</f>
        <v>High</v>
      </c>
    </row>
    <row r="33" spans="1:31" x14ac:dyDescent="0.25">
      <c r="A33" s="6" t="s">
        <v>104</v>
      </c>
      <c r="B33" s="5" t="s">
        <v>105</v>
      </c>
      <c r="C33" s="5" t="s">
        <v>94</v>
      </c>
      <c r="D33" s="5" t="s">
        <v>95</v>
      </c>
      <c r="E33" s="5">
        <v>14760</v>
      </c>
      <c r="F33" s="5">
        <v>82.9</v>
      </c>
      <c r="G33" s="5">
        <v>2294</v>
      </c>
      <c r="H33" s="5">
        <v>52.8</v>
      </c>
      <c r="I33" s="5">
        <v>1211</v>
      </c>
      <c r="J33" s="5">
        <v>691</v>
      </c>
      <c r="K33" s="5">
        <v>28771</v>
      </c>
      <c r="L33" s="5">
        <v>149</v>
      </c>
      <c r="M33" s="5">
        <v>119</v>
      </c>
      <c r="N33" s="5">
        <v>80.2</v>
      </c>
      <c r="O33" s="5">
        <v>53.9</v>
      </c>
      <c r="P33" s="5">
        <v>149.30000000000001</v>
      </c>
      <c r="Q33" s="5">
        <v>33.5</v>
      </c>
      <c r="R33" s="5">
        <v>11</v>
      </c>
      <c r="S33" s="5">
        <v>6</v>
      </c>
      <c r="T33" s="5">
        <v>1</v>
      </c>
      <c r="U33" s="5">
        <v>25</v>
      </c>
      <c r="V33" s="5">
        <v>19</v>
      </c>
      <c r="W33" s="5">
        <v>72</v>
      </c>
      <c r="X33" s="5">
        <v>805</v>
      </c>
      <c r="Y33" s="5">
        <v>57.7</v>
      </c>
      <c r="Z33" s="5">
        <v>132.53</v>
      </c>
      <c r="AA33" s="5">
        <v>70.900000000000006</v>
      </c>
      <c r="AB33" s="7" t="s">
        <v>48</v>
      </c>
      <c r="AC33" s="15">
        <f>AVERAGE(Table1[[#This Row],[Internet_4G_Coverage_Pct]],Table1[[#This Row],[Pucca_Road_Pct]],Table1[[#This Row],[JJM_Functional_Tap_Connections_Pct]])</f>
        <v>48.366666666666667</v>
      </c>
      <c r="AD33" s="16">
        <f>(Table1[BPL_Households_Pct]+Table1[MGNREGS_Person_Days_FY2425]/Table1[Electorate_2023])/2</f>
        <v>27.374627371273711</v>
      </c>
      <c r="AE33" s="16" t="str">
        <f>IF(Table1[Constituency_Fund_Utilized_Pct]&lt;60,"Low","High")</f>
        <v>High</v>
      </c>
    </row>
    <row r="34" spans="1:31" x14ac:dyDescent="0.25">
      <c r="A34" s="6" t="s">
        <v>102</v>
      </c>
      <c r="B34" s="5" t="s">
        <v>103</v>
      </c>
      <c r="C34" s="5" t="s">
        <v>94</v>
      </c>
      <c r="D34" s="5" t="s">
        <v>95</v>
      </c>
      <c r="E34" s="5">
        <v>17808</v>
      </c>
      <c r="F34" s="5">
        <v>84.5</v>
      </c>
      <c r="G34" s="5">
        <v>2417</v>
      </c>
      <c r="H34" s="5">
        <v>35.200000000000003</v>
      </c>
      <c r="I34" s="5">
        <v>850</v>
      </c>
      <c r="J34" s="5">
        <v>608</v>
      </c>
      <c r="K34" s="5">
        <v>25086</v>
      </c>
      <c r="L34" s="5">
        <v>116</v>
      </c>
      <c r="M34" s="5">
        <v>89</v>
      </c>
      <c r="N34" s="5">
        <v>77.400000000000006</v>
      </c>
      <c r="O34" s="5">
        <v>48.3</v>
      </c>
      <c r="P34" s="5">
        <v>87.8</v>
      </c>
      <c r="Q34" s="5">
        <v>40.700000000000003</v>
      </c>
      <c r="R34" s="5">
        <v>11</v>
      </c>
      <c r="S34" s="5">
        <v>6</v>
      </c>
      <c r="T34" s="5">
        <v>1</v>
      </c>
      <c r="U34" s="5">
        <v>12</v>
      </c>
      <c r="V34" s="5">
        <v>10</v>
      </c>
      <c r="W34" s="5">
        <v>82</v>
      </c>
      <c r="X34" s="5">
        <v>705</v>
      </c>
      <c r="Y34" s="5">
        <v>68.400000000000006</v>
      </c>
      <c r="Z34" s="5">
        <v>174.54</v>
      </c>
      <c r="AA34" s="5">
        <v>72.599999999999994</v>
      </c>
      <c r="AB34" s="7" t="s">
        <v>51</v>
      </c>
      <c r="AC34" s="15">
        <f>AVERAGE(Table1[[#This Row],[Internet_4G_Coverage_Pct]],Table1[[#This Row],[Pucca_Road_Pct]],Table1[[#This Row],[JJM_Functional_Tap_Connections_Pct]])</f>
        <v>52.466666666666669</v>
      </c>
      <c r="AD34" s="16">
        <f>(Table1[BPL_Households_Pct]+Table1[MGNREGS_Person_Days_FY2425]/Table1[Electorate_2023])/2</f>
        <v>18.304346361185985</v>
      </c>
      <c r="AE34" s="16" t="str">
        <f>IF(Table1[Constituency_Fund_Utilized_Pct]&lt;60,"Low","High")</f>
        <v>High</v>
      </c>
    </row>
    <row r="35" spans="1:31" x14ac:dyDescent="0.25">
      <c r="A35" s="6" t="s">
        <v>159</v>
      </c>
      <c r="B35" s="5" t="s">
        <v>160</v>
      </c>
      <c r="C35" s="5" t="s">
        <v>156</v>
      </c>
      <c r="D35" s="5" t="s">
        <v>118</v>
      </c>
      <c r="E35" s="5">
        <v>22504</v>
      </c>
      <c r="F35" s="5">
        <v>86.5</v>
      </c>
      <c r="G35" s="5">
        <v>3243</v>
      </c>
      <c r="H35" s="5">
        <v>35.1</v>
      </c>
      <c r="I35" s="5">
        <v>1138</v>
      </c>
      <c r="J35" s="5">
        <v>675</v>
      </c>
      <c r="K35" s="5">
        <v>28951</v>
      </c>
      <c r="L35" s="5">
        <v>187</v>
      </c>
      <c r="M35" s="5">
        <v>150</v>
      </c>
      <c r="N35" s="5">
        <v>80.7</v>
      </c>
      <c r="O35" s="5">
        <v>58.7</v>
      </c>
      <c r="P35" s="5">
        <v>122.5</v>
      </c>
      <c r="Q35" s="5">
        <v>62</v>
      </c>
      <c r="R35" s="5">
        <v>17</v>
      </c>
      <c r="S35" s="5">
        <v>4</v>
      </c>
      <c r="T35" s="5">
        <v>2</v>
      </c>
      <c r="U35" s="5">
        <v>45</v>
      </c>
      <c r="V35" s="5">
        <v>17</v>
      </c>
      <c r="W35" s="5">
        <v>75.7</v>
      </c>
      <c r="X35" s="5">
        <v>1220</v>
      </c>
      <c r="Y35" s="5">
        <v>35.5</v>
      </c>
      <c r="Z35" s="5">
        <v>185.85</v>
      </c>
      <c r="AA35" s="5">
        <v>73.8</v>
      </c>
      <c r="AB35" s="7" t="s">
        <v>59</v>
      </c>
      <c r="AC35" s="15">
        <f>AVERAGE(Table1[[#This Row],[Internet_4G_Coverage_Pct]],Table1[[#This Row],[Pucca_Road_Pct]],Table1[[#This Row],[JJM_Functional_Tap_Connections_Pct]])</f>
        <v>52.066666666666663</v>
      </c>
      <c r="AD35" s="16">
        <f>(Table1[BPL_Households_Pct]+Table1[MGNREGS_Person_Days_FY2425]/Table1[Electorate_2023])/2</f>
        <v>18.193241201564167</v>
      </c>
      <c r="AE35" s="16" t="str">
        <f>IF(Table1[Constituency_Fund_Utilized_Pct]&lt;60,"Low","High")</f>
        <v>High</v>
      </c>
    </row>
    <row r="36" spans="1:31" x14ac:dyDescent="0.25">
      <c r="A36" s="6" t="s">
        <v>55</v>
      </c>
      <c r="B36" s="5" t="s">
        <v>56</v>
      </c>
      <c r="C36" s="5" t="s">
        <v>28</v>
      </c>
      <c r="D36" s="5" t="s">
        <v>29</v>
      </c>
      <c r="E36" s="5">
        <v>17089</v>
      </c>
      <c r="F36" s="5">
        <v>73.400000000000006</v>
      </c>
      <c r="G36" s="5">
        <v>3169</v>
      </c>
      <c r="H36" s="5">
        <v>40.1</v>
      </c>
      <c r="I36" s="5">
        <v>1270</v>
      </c>
      <c r="J36" s="5">
        <v>1057</v>
      </c>
      <c r="K36" s="5">
        <v>61080</v>
      </c>
      <c r="L36" s="5">
        <v>204</v>
      </c>
      <c r="M36" s="5">
        <v>95</v>
      </c>
      <c r="N36" s="5">
        <v>46.9</v>
      </c>
      <c r="O36" s="5">
        <v>26.6</v>
      </c>
      <c r="P36" s="5">
        <v>237.8</v>
      </c>
      <c r="Q36" s="5">
        <v>52.9</v>
      </c>
      <c r="R36" s="5">
        <v>12</v>
      </c>
      <c r="S36" s="5">
        <v>3</v>
      </c>
      <c r="T36" s="5">
        <v>0</v>
      </c>
      <c r="U36" s="5">
        <v>50</v>
      </c>
      <c r="V36" s="5">
        <v>13</v>
      </c>
      <c r="W36" s="5">
        <v>64.2</v>
      </c>
      <c r="X36" s="5">
        <v>627</v>
      </c>
      <c r="Y36" s="5">
        <v>35.1</v>
      </c>
      <c r="Z36" s="5">
        <v>127.49</v>
      </c>
      <c r="AA36" s="5">
        <v>75.7</v>
      </c>
      <c r="AB36" s="7" t="s">
        <v>54</v>
      </c>
      <c r="AC36" s="15">
        <f>AVERAGE(Table1[[#This Row],[Internet_4G_Coverage_Pct]],Table1[[#This Row],[Pucca_Road_Pct]],Table1[[#This Row],[JJM_Functional_Tap_Connections_Pct]])</f>
        <v>38.199999999999996</v>
      </c>
      <c r="AD36" s="16">
        <f>(Table1[BPL_Households_Pct]+Table1[MGNREGS_Person_Days_FY2425]/Table1[Electorate_2023])/2</f>
        <v>21.837114518111065</v>
      </c>
      <c r="AE36" s="16" t="str">
        <f>IF(Table1[Constituency_Fund_Utilized_Pct]&lt;60,"Low","High")</f>
        <v>High</v>
      </c>
    </row>
    <row r="37" spans="1:31" x14ac:dyDescent="0.25">
      <c r="A37" s="6" t="s">
        <v>73</v>
      </c>
      <c r="B37" s="5" t="s">
        <v>74</v>
      </c>
      <c r="C37" s="5" t="s">
        <v>72</v>
      </c>
      <c r="D37" s="5" t="s">
        <v>29</v>
      </c>
      <c r="E37" s="5">
        <v>32589</v>
      </c>
      <c r="F37" s="5">
        <v>73.7</v>
      </c>
      <c r="G37" s="5">
        <v>4876</v>
      </c>
      <c r="H37" s="5">
        <v>38.1</v>
      </c>
      <c r="I37" s="5">
        <v>1857</v>
      </c>
      <c r="J37" s="5">
        <v>1477</v>
      </c>
      <c r="K37" s="5">
        <v>96072</v>
      </c>
      <c r="L37" s="5">
        <v>323</v>
      </c>
      <c r="M37" s="5">
        <v>179</v>
      </c>
      <c r="N37" s="5">
        <v>55.6</v>
      </c>
      <c r="O37" s="5">
        <v>33.200000000000003</v>
      </c>
      <c r="P37" s="5">
        <v>85.9</v>
      </c>
      <c r="Q37" s="5">
        <v>38.799999999999997</v>
      </c>
      <c r="R37" s="5">
        <v>17</v>
      </c>
      <c r="S37" s="5">
        <v>5</v>
      </c>
      <c r="T37" s="5">
        <v>0</v>
      </c>
      <c r="U37" s="5">
        <v>37</v>
      </c>
      <c r="V37" s="5">
        <v>16</v>
      </c>
      <c r="W37" s="5">
        <v>81</v>
      </c>
      <c r="X37" s="5">
        <v>1071</v>
      </c>
      <c r="Y37" s="5">
        <v>39.6</v>
      </c>
      <c r="Z37" s="5">
        <v>149.08000000000001</v>
      </c>
      <c r="AA37" s="5">
        <v>78.7</v>
      </c>
      <c r="AB37" s="7" t="s">
        <v>54</v>
      </c>
      <c r="AC37" s="15">
        <f>AVERAGE(Table1[[#This Row],[Internet_4G_Coverage_Pct]],Table1[[#This Row],[Pucca_Road_Pct]],Table1[[#This Row],[JJM_Functional_Tap_Connections_Pct]])</f>
        <v>37.200000000000003</v>
      </c>
      <c r="AD37" s="16">
        <f>(Table1[BPL_Households_Pct]+Table1[MGNREGS_Person_Days_FY2425]/Table1[Electorate_2023])/2</f>
        <v>20.523994292552704</v>
      </c>
      <c r="AE37" s="16" t="str">
        <f>IF(Table1[Constituency_Fund_Utilized_Pct]&lt;60,"Low","High")</f>
        <v>High</v>
      </c>
    </row>
    <row r="38" spans="1:31" x14ac:dyDescent="0.25">
      <c r="A38" s="6" t="s">
        <v>38</v>
      </c>
      <c r="B38" s="5" t="s">
        <v>39</v>
      </c>
      <c r="C38" s="5" t="s">
        <v>28</v>
      </c>
      <c r="D38" s="5" t="s">
        <v>29</v>
      </c>
      <c r="E38" s="5">
        <v>58175</v>
      </c>
      <c r="F38" s="5">
        <v>62.2</v>
      </c>
      <c r="G38" s="5">
        <v>6467</v>
      </c>
      <c r="H38" s="5">
        <v>21.9</v>
      </c>
      <c r="I38" s="5">
        <v>1416</v>
      </c>
      <c r="J38" s="5">
        <v>302</v>
      </c>
      <c r="K38" s="5">
        <v>12541</v>
      </c>
      <c r="L38" s="5">
        <v>143</v>
      </c>
      <c r="M38" s="5">
        <v>75</v>
      </c>
      <c r="N38" s="5">
        <v>52.5</v>
      </c>
      <c r="O38" s="5">
        <v>84.5</v>
      </c>
      <c r="P38" s="5">
        <v>70.8</v>
      </c>
      <c r="Q38" s="5">
        <v>79.599999999999994</v>
      </c>
      <c r="R38" s="5">
        <v>7</v>
      </c>
      <c r="S38" s="5">
        <v>4</v>
      </c>
      <c r="T38" s="5">
        <v>2</v>
      </c>
      <c r="U38" s="5">
        <v>24</v>
      </c>
      <c r="V38" s="5">
        <v>20</v>
      </c>
      <c r="W38" s="5">
        <v>94.1</v>
      </c>
      <c r="X38" s="5">
        <v>482</v>
      </c>
      <c r="Y38" s="5">
        <v>78.099999999999994</v>
      </c>
      <c r="Z38" s="5">
        <v>81.38</v>
      </c>
      <c r="AA38" s="5">
        <v>78.8</v>
      </c>
      <c r="AB38" s="7" t="s">
        <v>33</v>
      </c>
      <c r="AC38" s="15">
        <f>AVERAGE(Table1[[#This Row],[Internet_4G_Coverage_Pct]],Table1[[#This Row],[Pucca_Road_Pct]],Table1[[#This Row],[JJM_Functional_Tap_Connections_Pct]])</f>
        <v>80.733333333333334</v>
      </c>
      <c r="AD38" s="16">
        <f>(Table1[BPL_Households_Pct]+Table1[MGNREGS_Person_Days_FY2425]/Table1[Electorate_2023])/2</f>
        <v>11.057786850021486</v>
      </c>
      <c r="AE38" s="16" t="str">
        <f>IF(Table1[Constituency_Fund_Utilized_Pct]&lt;60,"Low","High")</f>
        <v>High</v>
      </c>
    </row>
    <row r="39" spans="1:31" x14ac:dyDescent="0.25">
      <c r="A39" s="6" t="s">
        <v>138</v>
      </c>
      <c r="B39" s="5" t="s">
        <v>139</v>
      </c>
      <c r="C39" s="5" t="s">
        <v>140</v>
      </c>
      <c r="D39" s="5" t="s">
        <v>118</v>
      </c>
      <c r="E39" s="5">
        <v>21766</v>
      </c>
      <c r="F39" s="5">
        <v>87.5</v>
      </c>
      <c r="G39" s="5">
        <v>2970</v>
      </c>
      <c r="H39" s="5">
        <v>36.299999999999997</v>
      </c>
      <c r="I39" s="5">
        <v>1078</v>
      </c>
      <c r="J39" s="5">
        <v>911</v>
      </c>
      <c r="K39" s="5">
        <v>67870</v>
      </c>
      <c r="L39" s="5">
        <v>167</v>
      </c>
      <c r="M39" s="5">
        <v>137</v>
      </c>
      <c r="N39" s="5">
        <v>82.5</v>
      </c>
      <c r="O39" s="5">
        <v>28.2</v>
      </c>
      <c r="P39" s="5">
        <v>287.89999999999998</v>
      </c>
      <c r="Q39" s="5">
        <v>33.799999999999997</v>
      </c>
      <c r="R39" s="5">
        <v>13</v>
      </c>
      <c r="S39" s="5">
        <v>2</v>
      </c>
      <c r="T39" s="5">
        <v>2</v>
      </c>
      <c r="U39" s="5">
        <v>28</v>
      </c>
      <c r="V39" s="5">
        <v>3</v>
      </c>
      <c r="W39" s="5">
        <v>62.5</v>
      </c>
      <c r="X39" s="5">
        <v>762</v>
      </c>
      <c r="Y39" s="5">
        <v>58.3</v>
      </c>
      <c r="Z39" s="5">
        <v>86.29</v>
      </c>
      <c r="AA39" s="5">
        <v>80.2</v>
      </c>
      <c r="AB39" s="7" t="s">
        <v>51</v>
      </c>
      <c r="AC39" s="15">
        <f>AVERAGE(Table1[[#This Row],[Internet_4G_Coverage_Pct]],Table1[[#This Row],[Pucca_Road_Pct]],Table1[[#This Row],[JJM_Functional_Tap_Connections_Pct]])</f>
        <v>40.1</v>
      </c>
      <c r="AD39" s="16">
        <f>(Table1[BPL_Households_Pct]+Table1[MGNREGS_Person_Days_FY2425]/Table1[Electorate_2023])/2</f>
        <v>19.709082973444822</v>
      </c>
      <c r="AE39" s="16" t="str">
        <f>IF(Table1[Constituency_Fund_Utilized_Pct]&lt;60,"Low","High")</f>
        <v>High</v>
      </c>
    </row>
    <row r="40" spans="1:31" x14ac:dyDescent="0.25">
      <c r="A40" s="6" t="s">
        <v>127</v>
      </c>
      <c r="B40" s="5" t="s">
        <v>128</v>
      </c>
      <c r="C40" s="5" t="s">
        <v>117</v>
      </c>
      <c r="D40" s="5" t="s">
        <v>118</v>
      </c>
      <c r="E40" s="5">
        <v>30892</v>
      </c>
      <c r="F40" s="5">
        <v>88</v>
      </c>
      <c r="G40" s="5">
        <v>4423</v>
      </c>
      <c r="H40" s="5">
        <v>35.5</v>
      </c>
      <c r="I40" s="5">
        <v>1570</v>
      </c>
      <c r="J40" s="5">
        <v>1219</v>
      </c>
      <c r="K40" s="5">
        <v>80086</v>
      </c>
      <c r="L40" s="5">
        <v>275</v>
      </c>
      <c r="M40" s="5">
        <v>141</v>
      </c>
      <c r="N40" s="5">
        <v>51.4</v>
      </c>
      <c r="O40" s="5">
        <v>27.4</v>
      </c>
      <c r="P40" s="5">
        <v>230.6</v>
      </c>
      <c r="Q40" s="5">
        <v>29.7</v>
      </c>
      <c r="R40" s="5">
        <v>16</v>
      </c>
      <c r="S40" s="5">
        <v>1</v>
      </c>
      <c r="T40" s="5">
        <v>2</v>
      </c>
      <c r="U40" s="5">
        <v>31</v>
      </c>
      <c r="V40" s="5">
        <v>7</v>
      </c>
      <c r="W40" s="5">
        <v>60.3</v>
      </c>
      <c r="X40" s="5">
        <v>732</v>
      </c>
      <c r="Y40" s="5">
        <v>25.1</v>
      </c>
      <c r="Z40" s="5">
        <v>115.41</v>
      </c>
      <c r="AA40" s="5">
        <v>80.599999999999994</v>
      </c>
      <c r="AB40" s="7" t="s">
        <v>48</v>
      </c>
      <c r="AC40" s="15">
        <f>AVERAGE(Table1[[#This Row],[Internet_4G_Coverage_Pct]],Table1[[#This Row],[Pucca_Road_Pct]],Table1[[#This Row],[JJM_Functional_Tap_Connections_Pct]])</f>
        <v>27.399999999999995</v>
      </c>
      <c r="AD40" s="16">
        <f>(Table1[BPL_Households_Pct]+Table1[MGNREGS_Person_Days_FY2425]/Table1[Electorate_2023])/2</f>
        <v>19.046225560015539</v>
      </c>
      <c r="AE40" s="16" t="str">
        <f>IF(Table1[Constituency_Fund_Utilized_Pct]&lt;60,"Low","High")</f>
        <v>High</v>
      </c>
    </row>
    <row r="41" spans="1:31" x14ac:dyDescent="0.25">
      <c r="A41" s="6" t="s">
        <v>96</v>
      </c>
      <c r="B41" s="5" t="s">
        <v>97</v>
      </c>
      <c r="C41" s="5" t="s">
        <v>94</v>
      </c>
      <c r="D41" s="5" t="s">
        <v>95</v>
      </c>
      <c r="E41" s="5">
        <v>28397</v>
      </c>
      <c r="F41" s="5">
        <v>78.900000000000006</v>
      </c>
      <c r="G41" s="5">
        <v>3607</v>
      </c>
      <c r="H41" s="5">
        <v>38.6</v>
      </c>
      <c r="I41" s="5">
        <v>1392</v>
      </c>
      <c r="J41" s="5">
        <v>955</v>
      </c>
      <c r="K41" s="5">
        <v>45137</v>
      </c>
      <c r="L41" s="5">
        <v>156</v>
      </c>
      <c r="M41" s="5">
        <v>123</v>
      </c>
      <c r="N41" s="5">
        <v>78.900000000000006</v>
      </c>
      <c r="O41" s="5">
        <v>39.700000000000003</v>
      </c>
      <c r="P41" s="5">
        <v>258.3</v>
      </c>
      <c r="Q41" s="5">
        <v>69.8</v>
      </c>
      <c r="R41" s="5">
        <v>7</v>
      </c>
      <c r="S41" s="5">
        <v>2</v>
      </c>
      <c r="T41" s="5">
        <v>0</v>
      </c>
      <c r="U41" s="5">
        <v>55</v>
      </c>
      <c r="V41" s="5">
        <v>18</v>
      </c>
      <c r="W41" s="5">
        <v>65.2</v>
      </c>
      <c r="X41" s="5">
        <v>992</v>
      </c>
      <c r="Y41" s="5">
        <v>70.900000000000006</v>
      </c>
      <c r="Z41" s="5">
        <v>150.75</v>
      </c>
      <c r="AA41" s="5">
        <v>81.400000000000006</v>
      </c>
      <c r="AB41" s="7" t="s">
        <v>54</v>
      </c>
      <c r="AC41" s="15">
        <f>AVERAGE(Table1[[#This Row],[Internet_4G_Coverage_Pct]],Table1[[#This Row],[Pucca_Road_Pct]],Table1[[#This Row],[JJM_Functional_Tap_Connections_Pct]])</f>
        <v>60.133333333333326</v>
      </c>
      <c r="AD41" s="16">
        <f>(Table1[BPL_Households_Pct]+Table1[MGNREGS_Person_Days_FY2425]/Table1[Electorate_2023])/2</f>
        <v>20.094749445363949</v>
      </c>
      <c r="AE41" s="16" t="str">
        <f>IF(Table1[Constituency_Fund_Utilized_Pct]&lt;60,"Low","High")</f>
        <v>High</v>
      </c>
    </row>
    <row r="42" spans="1:31" x14ac:dyDescent="0.25">
      <c r="A42" s="6" t="s">
        <v>161</v>
      </c>
      <c r="B42" s="5" t="s">
        <v>162</v>
      </c>
      <c r="C42" s="5" t="s">
        <v>133</v>
      </c>
      <c r="D42" s="5" t="s">
        <v>118</v>
      </c>
      <c r="E42" s="5">
        <v>15946</v>
      </c>
      <c r="F42" s="5">
        <v>80.8</v>
      </c>
      <c r="G42" s="5">
        <v>2419</v>
      </c>
      <c r="H42" s="5">
        <v>51.9</v>
      </c>
      <c r="I42" s="5">
        <v>1255</v>
      </c>
      <c r="J42" s="5">
        <v>912</v>
      </c>
      <c r="K42" s="5">
        <v>44758</v>
      </c>
      <c r="L42" s="5">
        <v>113</v>
      </c>
      <c r="M42" s="5">
        <v>75</v>
      </c>
      <c r="N42" s="5">
        <v>66.7</v>
      </c>
      <c r="O42" s="5">
        <v>24.1</v>
      </c>
      <c r="P42" s="5">
        <v>168.5</v>
      </c>
      <c r="Q42" s="5">
        <v>40.6</v>
      </c>
      <c r="R42" s="5">
        <v>4</v>
      </c>
      <c r="S42" s="5">
        <v>5</v>
      </c>
      <c r="T42" s="5">
        <v>2</v>
      </c>
      <c r="U42" s="5">
        <v>40</v>
      </c>
      <c r="V42" s="5">
        <v>15</v>
      </c>
      <c r="W42" s="5">
        <v>70</v>
      </c>
      <c r="X42" s="5">
        <v>853</v>
      </c>
      <c r="Y42" s="5">
        <v>42.3</v>
      </c>
      <c r="Z42" s="5">
        <v>146.52000000000001</v>
      </c>
      <c r="AA42" s="5">
        <v>83.5</v>
      </c>
      <c r="AB42" s="7" t="s">
        <v>48</v>
      </c>
      <c r="AC42" s="15">
        <f>AVERAGE(Table1[[#This Row],[Internet_4G_Coverage_Pct]],Table1[[#This Row],[Pucca_Road_Pct]],Table1[[#This Row],[JJM_Functional_Tap_Connections_Pct]])</f>
        <v>35.666666666666664</v>
      </c>
      <c r="AD42" s="16">
        <f>(Table1[BPL_Households_Pct]+Table1[MGNREGS_Person_Days_FY2425]/Table1[Electorate_2023])/2</f>
        <v>27.353424056189638</v>
      </c>
      <c r="AE42" s="16" t="str">
        <f>IF(Table1[Constituency_Fund_Utilized_Pct]&lt;60,"Low","High")</f>
        <v>High</v>
      </c>
    </row>
    <row r="43" spans="1:31" x14ac:dyDescent="0.25">
      <c r="A43" s="6" t="s">
        <v>46</v>
      </c>
      <c r="B43" s="5" t="s">
        <v>47</v>
      </c>
      <c r="C43" s="5" t="s">
        <v>28</v>
      </c>
      <c r="D43" s="5" t="s">
        <v>29</v>
      </c>
      <c r="E43" s="5">
        <v>26906</v>
      </c>
      <c r="F43" s="5">
        <v>76.3</v>
      </c>
      <c r="G43" s="5">
        <v>4976</v>
      </c>
      <c r="H43" s="5">
        <v>45.1</v>
      </c>
      <c r="I43" s="5">
        <v>2244</v>
      </c>
      <c r="J43" s="5">
        <v>1552</v>
      </c>
      <c r="K43" s="5">
        <v>103029</v>
      </c>
      <c r="L43" s="5">
        <v>433</v>
      </c>
      <c r="M43" s="5">
        <v>233</v>
      </c>
      <c r="N43" s="5">
        <v>53.9</v>
      </c>
      <c r="O43" s="5">
        <v>27.4</v>
      </c>
      <c r="P43" s="5">
        <v>183.5</v>
      </c>
      <c r="Q43" s="5">
        <v>46.6</v>
      </c>
      <c r="R43" s="5">
        <v>16</v>
      </c>
      <c r="S43" s="5">
        <v>6</v>
      </c>
      <c r="T43" s="5">
        <v>0</v>
      </c>
      <c r="U43" s="5">
        <v>51</v>
      </c>
      <c r="V43" s="5">
        <v>6</v>
      </c>
      <c r="W43" s="5">
        <v>59.6</v>
      </c>
      <c r="X43" s="5">
        <v>738</v>
      </c>
      <c r="Y43" s="5">
        <v>28.3</v>
      </c>
      <c r="Z43" s="5">
        <v>167.39</v>
      </c>
      <c r="AA43" s="5">
        <v>84</v>
      </c>
      <c r="AB43" s="7" t="s">
        <v>48</v>
      </c>
      <c r="AC43" s="15">
        <f>AVERAGE(Table1[[#This Row],[Internet_4G_Coverage_Pct]],Table1[[#This Row],[Pucca_Road_Pct]],Table1[[#This Row],[JJM_Functional_Tap_Connections_Pct]])</f>
        <v>34.1</v>
      </c>
      <c r="AD43" s="16">
        <f>(Table1[BPL_Households_Pct]+Table1[MGNREGS_Person_Days_FY2425]/Table1[Electorate_2023])/2</f>
        <v>24.464610124135881</v>
      </c>
      <c r="AE43" s="16" t="str">
        <f>IF(Table1[Constituency_Fund_Utilized_Pct]&lt;60,"Low","High")</f>
        <v>High</v>
      </c>
    </row>
    <row r="44" spans="1:31" x14ac:dyDescent="0.25">
      <c r="A44" s="6" t="s">
        <v>106</v>
      </c>
      <c r="B44" s="5" t="s">
        <v>107</v>
      </c>
      <c r="C44" s="5" t="s">
        <v>108</v>
      </c>
      <c r="D44" s="5" t="s">
        <v>95</v>
      </c>
      <c r="E44" s="5">
        <v>19204</v>
      </c>
      <c r="F44" s="5">
        <v>72.5</v>
      </c>
      <c r="G44" s="5">
        <v>3191</v>
      </c>
      <c r="H44" s="5">
        <v>53.8</v>
      </c>
      <c r="I44" s="5">
        <v>1716</v>
      </c>
      <c r="J44" s="5">
        <v>1246</v>
      </c>
      <c r="K44" s="5">
        <v>44643</v>
      </c>
      <c r="L44" s="5">
        <v>321</v>
      </c>
      <c r="M44" s="5">
        <v>268</v>
      </c>
      <c r="N44" s="5">
        <v>83.6</v>
      </c>
      <c r="O44" s="5">
        <v>54.3</v>
      </c>
      <c r="P44" s="5">
        <v>263.10000000000002</v>
      </c>
      <c r="Q44" s="5">
        <v>35.700000000000003</v>
      </c>
      <c r="R44" s="5">
        <v>18</v>
      </c>
      <c r="S44" s="5">
        <v>6</v>
      </c>
      <c r="T44" s="5">
        <v>1</v>
      </c>
      <c r="U44" s="5">
        <v>25</v>
      </c>
      <c r="V44" s="5">
        <v>8</v>
      </c>
      <c r="W44" s="5">
        <v>83.9</v>
      </c>
      <c r="X44" s="5">
        <v>1186</v>
      </c>
      <c r="Y44" s="5">
        <v>43.4</v>
      </c>
      <c r="Z44" s="5">
        <v>132.31</v>
      </c>
      <c r="AA44" s="5">
        <v>84.9</v>
      </c>
      <c r="AB44" s="7" t="s">
        <v>51</v>
      </c>
      <c r="AC44" s="15">
        <f>AVERAGE(Table1[[#This Row],[Internet_4G_Coverage_Pct]],Table1[[#This Row],[Pucca_Road_Pct]],Table1[[#This Row],[JJM_Functional_Tap_Connections_Pct]])</f>
        <v>44.466666666666661</v>
      </c>
      <c r="AD44" s="16">
        <f>(Table1[BPL_Households_Pct]+Table1[MGNREGS_Person_Days_FY2425]/Table1[Electorate_2023])/2</f>
        <v>28.062335971672567</v>
      </c>
      <c r="AE44" s="16" t="str">
        <f>IF(Table1[Constituency_Fund_Utilized_Pct]&lt;60,"Low","High")</f>
        <v>High</v>
      </c>
    </row>
    <row r="45" spans="1:31" x14ac:dyDescent="0.25">
      <c r="A45" s="6" t="s">
        <v>115</v>
      </c>
      <c r="B45" s="5" t="s">
        <v>116</v>
      </c>
      <c r="C45" s="5" t="s">
        <v>117</v>
      </c>
      <c r="D45" s="5" t="s">
        <v>118</v>
      </c>
      <c r="E45" s="5">
        <v>61264</v>
      </c>
      <c r="F45" s="5">
        <v>65.8</v>
      </c>
      <c r="G45" s="5">
        <v>9445</v>
      </c>
      <c r="H45" s="5">
        <v>22.9</v>
      </c>
      <c r="I45" s="5">
        <v>2162</v>
      </c>
      <c r="J45" s="5">
        <v>363</v>
      </c>
      <c r="K45" s="5">
        <v>10180</v>
      </c>
      <c r="L45" s="5">
        <v>230</v>
      </c>
      <c r="M45" s="5">
        <v>178</v>
      </c>
      <c r="N45" s="5">
        <v>77.8</v>
      </c>
      <c r="O45" s="5">
        <v>80.900000000000006</v>
      </c>
      <c r="P45" s="5">
        <v>49</v>
      </c>
      <c r="Q45" s="5">
        <v>89.4</v>
      </c>
      <c r="R45" s="5">
        <v>3</v>
      </c>
      <c r="S45" s="5">
        <v>3</v>
      </c>
      <c r="T45" s="5">
        <v>2</v>
      </c>
      <c r="U45" s="5">
        <v>38</v>
      </c>
      <c r="V45" s="5">
        <v>15</v>
      </c>
      <c r="W45" s="5">
        <v>87.4</v>
      </c>
      <c r="X45" s="5">
        <v>930</v>
      </c>
      <c r="Y45" s="5">
        <v>76.3</v>
      </c>
      <c r="Z45" s="5">
        <v>159.63999999999999</v>
      </c>
      <c r="AA45" s="5">
        <v>85.3</v>
      </c>
      <c r="AB45" s="7" t="s">
        <v>30</v>
      </c>
      <c r="AC45" s="15">
        <f>AVERAGE(Table1[[#This Row],[Internet_4G_Coverage_Pct]],Table1[[#This Row],[Pucca_Road_Pct]],Table1[[#This Row],[JJM_Functional_Tap_Connections_Pct]])</f>
        <v>82.2</v>
      </c>
      <c r="AD45" s="16">
        <f>(Table1[BPL_Households_Pct]+Table1[MGNREGS_Person_Days_FY2425]/Table1[Electorate_2023])/2</f>
        <v>11.533083050404805</v>
      </c>
      <c r="AE45" s="16" t="str">
        <f>IF(Table1[Constituency_Fund_Utilized_Pct]&lt;60,"Low","High")</f>
        <v>High</v>
      </c>
    </row>
    <row r="46" spans="1:31" x14ac:dyDescent="0.25">
      <c r="A46" s="6" t="s">
        <v>88</v>
      </c>
      <c r="B46" s="5" t="s">
        <v>89</v>
      </c>
      <c r="C46" s="5" t="s">
        <v>83</v>
      </c>
      <c r="D46" s="5" t="s">
        <v>83</v>
      </c>
      <c r="E46" s="5">
        <v>14339</v>
      </c>
      <c r="F46" s="5">
        <v>85.9</v>
      </c>
      <c r="G46" s="5">
        <v>2332</v>
      </c>
      <c r="H46" s="5">
        <v>52.2</v>
      </c>
      <c r="I46" s="5">
        <v>1217</v>
      </c>
      <c r="J46" s="5">
        <v>960</v>
      </c>
      <c r="K46" s="5">
        <v>55331</v>
      </c>
      <c r="L46" s="5">
        <v>104</v>
      </c>
      <c r="M46" s="5">
        <v>72</v>
      </c>
      <c r="N46" s="5">
        <v>70</v>
      </c>
      <c r="O46" s="5">
        <v>59</v>
      </c>
      <c r="P46" s="5">
        <v>96.5</v>
      </c>
      <c r="Q46" s="5">
        <v>56.5</v>
      </c>
      <c r="R46" s="5">
        <v>2</v>
      </c>
      <c r="S46" s="5">
        <v>4</v>
      </c>
      <c r="T46" s="5">
        <v>1</v>
      </c>
      <c r="U46" s="5">
        <v>14</v>
      </c>
      <c r="V46" s="5">
        <v>16</v>
      </c>
      <c r="W46" s="5">
        <v>83</v>
      </c>
      <c r="X46" s="5">
        <v>708</v>
      </c>
      <c r="Y46" s="5">
        <v>41.5</v>
      </c>
      <c r="Z46" s="5">
        <v>156.27000000000001</v>
      </c>
      <c r="AA46" s="5">
        <v>85.9</v>
      </c>
      <c r="AB46" s="7" t="s">
        <v>48</v>
      </c>
      <c r="AC46" s="15">
        <f>AVERAGE(Table1[[#This Row],[Internet_4G_Coverage_Pct]],Table1[[#This Row],[Pucca_Road_Pct]],Table1[[#This Row],[JJM_Functional_Tap_Connections_Pct]])</f>
        <v>52.333333333333336</v>
      </c>
      <c r="AD46" s="16">
        <f>(Table1[BPL_Households_Pct]+Table1[MGNREGS_Person_Days_FY2425]/Table1[Electorate_2023])/2</f>
        <v>28.029388381337611</v>
      </c>
      <c r="AE46" s="16" t="str">
        <f>IF(Table1[Constituency_Fund_Utilized_Pct]&lt;60,"Low","High")</f>
        <v>High</v>
      </c>
    </row>
    <row r="47" spans="1:31" x14ac:dyDescent="0.25">
      <c r="A47" s="6" t="s">
        <v>136</v>
      </c>
      <c r="B47" s="5" t="s">
        <v>137</v>
      </c>
      <c r="C47" s="5" t="s">
        <v>133</v>
      </c>
      <c r="D47" s="5" t="s">
        <v>118</v>
      </c>
      <c r="E47" s="5">
        <v>33468</v>
      </c>
      <c r="F47" s="5">
        <v>79.3</v>
      </c>
      <c r="G47" s="5">
        <v>4488</v>
      </c>
      <c r="H47" s="5">
        <v>29.8</v>
      </c>
      <c r="I47" s="5">
        <v>1337</v>
      </c>
      <c r="J47" s="5">
        <v>846</v>
      </c>
      <c r="K47" s="5">
        <v>62374</v>
      </c>
      <c r="L47" s="5">
        <v>284</v>
      </c>
      <c r="M47" s="5">
        <v>237</v>
      </c>
      <c r="N47" s="5">
        <v>83.7</v>
      </c>
      <c r="O47" s="5">
        <v>27.1</v>
      </c>
      <c r="P47" s="5">
        <v>130.9</v>
      </c>
      <c r="Q47" s="5">
        <v>56.1</v>
      </c>
      <c r="R47" s="5">
        <v>2</v>
      </c>
      <c r="S47" s="5">
        <v>1</v>
      </c>
      <c r="T47" s="5">
        <v>1</v>
      </c>
      <c r="U47" s="5">
        <v>23</v>
      </c>
      <c r="V47" s="5">
        <v>7</v>
      </c>
      <c r="W47" s="5">
        <v>78.5</v>
      </c>
      <c r="X47" s="5">
        <v>1185</v>
      </c>
      <c r="Y47" s="5">
        <v>49.7</v>
      </c>
      <c r="Z47" s="5">
        <v>104.62</v>
      </c>
      <c r="AA47" s="5">
        <v>85.9</v>
      </c>
      <c r="AB47" s="7" t="s">
        <v>54</v>
      </c>
      <c r="AC47" s="15">
        <f>AVERAGE(Table1[[#This Row],[Internet_4G_Coverage_Pct]],Table1[[#This Row],[Pucca_Road_Pct]],Table1[[#This Row],[JJM_Functional_Tap_Connections_Pct]])</f>
        <v>44.300000000000004</v>
      </c>
      <c r="AD47" s="16">
        <f>(Table1[BPL_Households_Pct]+Table1[MGNREGS_Person_Days_FY2425]/Table1[Electorate_2023])/2</f>
        <v>15.831845344806981</v>
      </c>
      <c r="AE47" s="16" t="str">
        <f>IF(Table1[Constituency_Fund_Utilized_Pct]&lt;60,"Low","High")</f>
        <v>High</v>
      </c>
    </row>
    <row r="48" spans="1:31" x14ac:dyDescent="0.25">
      <c r="A48" s="6" t="s">
        <v>147</v>
      </c>
      <c r="B48" s="5" t="s">
        <v>148</v>
      </c>
      <c r="C48" s="5" t="s">
        <v>149</v>
      </c>
      <c r="D48" s="5" t="s">
        <v>118</v>
      </c>
      <c r="E48" s="5">
        <v>30674</v>
      </c>
      <c r="F48" s="5">
        <v>78.2</v>
      </c>
      <c r="G48" s="5">
        <v>5065</v>
      </c>
      <c r="H48" s="5">
        <v>32.6</v>
      </c>
      <c r="I48" s="5">
        <v>1651</v>
      </c>
      <c r="J48" s="5">
        <v>1146</v>
      </c>
      <c r="K48" s="5">
        <v>78949</v>
      </c>
      <c r="L48" s="5">
        <v>213</v>
      </c>
      <c r="M48" s="5">
        <v>151</v>
      </c>
      <c r="N48" s="5">
        <v>71.099999999999994</v>
      </c>
      <c r="O48" s="5">
        <v>28.4</v>
      </c>
      <c r="P48" s="5">
        <v>146.9</v>
      </c>
      <c r="Q48" s="5">
        <v>38</v>
      </c>
      <c r="R48" s="5">
        <v>15</v>
      </c>
      <c r="S48" s="5">
        <v>5</v>
      </c>
      <c r="T48" s="5">
        <v>2</v>
      </c>
      <c r="U48" s="5">
        <v>47</v>
      </c>
      <c r="V48" s="5">
        <v>20</v>
      </c>
      <c r="W48" s="5">
        <v>58.7</v>
      </c>
      <c r="X48" s="5">
        <v>960</v>
      </c>
      <c r="Y48" s="5">
        <v>27.7</v>
      </c>
      <c r="Z48" s="5">
        <v>191.49</v>
      </c>
      <c r="AA48" s="5">
        <v>85.9</v>
      </c>
      <c r="AB48" s="7" t="s">
        <v>59</v>
      </c>
      <c r="AC48" s="15">
        <f>AVERAGE(Table1[[#This Row],[Internet_4G_Coverage_Pct]],Table1[[#This Row],[Pucca_Road_Pct]],Table1[[#This Row],[JJM_Functional_Tap_Connections_Pct]])</f>
        <v>31.366666666666664</v>
      </c>
      <c r="AD48" s="16">
        <f>(Table1[BPL_Households_Pct]+Table1[MGNREGS_Person_Days_FY2425]/Table1[Electorate_2023])/2</f>
        <v>17.586904218556434</v>
      </c>
      <c r="AE48" s="16" t="str">
        <f>IF(Table1[Constituency_Fund_Utilized_Pct]&lt;60,"Low","High")</f>
        <v>High</v>
      </c>
    </row>
    <row r="49" spans="1:31" x14ac:dyDescent="0.25">
      <c r="A49" s="6" t="s">
        <v>125</v>
      </c>
      <c r="B49" s="5" t="s">
        <v>126</v>
      </c>
      <c r="C49" s="5" t="s">
        <v>117</v>
      </c>
      <c r="D49" s="5" t="s">
        <v>118</v>
      </c>
      <c r="E49" s="5">
        <v>24903</v>
      </c>
      <c r="F49" s="5">
        <v>85.8</v>
      </c>
      <c r="G49" s="5">
        <v>3424</v>
      </c>
      <c r="H49" s="5">
        <v>58</v>
      </c>
      <c r="I49" s="5">
        <v>1985</v>
      </c>
      <c r="J49" s="5">
        <v>1599</v>
      </c>
      <c r="K49" s="5">
        <v>62786</v>
      </c>
      <c r="L49" s="5">
        <v>264</v>
      </c>
      <c r="M49" s="5">
        <v>163</v>
      </c>
      <c r="N49" s="5">
        <v>61.9</v>
      </c>
      <c r="O49" s="5">
        <v>38.6</v>
      </c>
      <c r="P49" s="5">
        <v>247.8</v>
      </c>
      <c r="Q49" s="5">
        <v>29</v>
      </c>
      <c r="R49" s="5">
        <v>14</v>
      </c>
      <c r="S49" s="5">
        <v>3</v>
      </c>
      <c r="T49" s="5">
        <v>0</v>
      </c>
      <c r="U49" s="5">
        <v>44</v>
      </c>
      <c r="V49" s="5">
        <v>4</v>
      </c>
      <c r="W49" s="5">
        <v>81.7</v>
      </c>
      <c r="X49" s="5">
        <v>1214</v>
      </c>
      <c r="Y49" s="5">
        <v>59.9</v>
      </c>
      <c r="Z49" s="5">
        <v>169.42</v>
      </c>
      <c r="AA49" s="5">
        <v>86.1</v>
      </c>
      <c r="AB49" s="7" t="s">
        <v>54</v>
      </c>
      <c r="AC49" s="15">
        <f>AVERAGE(Table1[[#This Row],[Internet_4G_Coverage_Pct]],Table1[[#This Row],[Pucca_Road_Pct]],Table1[[#This Row],[JJM_Functional_Tap_Connections_Pct]])</f>
        <v>42.5</v>
      </c>
      <c r="AD49" s="16">
        <f>(Table1[BPL_Households_Pct]+Table1[MGNREGS_Person_Days_FY2425]/Table1[Electorate_2023])/2</f>
        <v>30.260611171344816</v>
      </c>
      <c r="AE49" s="16" t="str">
        <f>IF(Table1[Constituency_Fund_Utilized_Pct]&lt;60,"Low","High")</f>
        <v>High</v>
      </c>
    </row>
    <row r="50" spans="1:31" x14ac:dyDescent="0.25">
      <c r="A50" s="6" t="s">
        <v>52</v>
      </c>
      <c r="B50" s="5" t="s">
        <v>53</v>
      </c>
      <c r="C50" s="5" t="s">
        <v>28</v>
      </c>
      <c r="D50" s="5" t="s">
        <v>29</v>
      </c>
      <c r="E50" s="5">
        <v>19690</v>
      </c>
      <c r="F50" s="5">
        <v>90.5</v>
      </c>
      <c r="G50" s="5">
        <v>2439</v>
      </c>
      <c r="H50" s="5">
        <v>48.9</v>
      </c>
      <c r="I50" s="5">
        <v>1192</v>
      </c>
      <c r="J50" s="5">
        <v>916</v>
      </c>
      <c r="K50" s="5">
        <v>60762</v>
      </c>
      <c r="L50" s="5">
        <v>205</v>
      </c>
      <c r="M50" s="5">
        <v>139</v>
      </c>
      <c r="N50" s="5">
        <v>67.900000000000006</v>
      </c>
      <c r="O50" s="5">
        <v>32.6</v>
      </c>
      <c r="P50" s="5">
        <v>132.19999999999999</v>
      </c>
      <c r="Q50" s="5">
        <v>30.6</v>
      </c>
      <c r="R50" s="5">
        <v>3</v>
      </c>
      <c r="S50" s="5">
        <v>6</v>
      </c>
      <c r="T50" s="5">
        <v>1</v>
      </c>
      <c r="U50" s="5">
        <v>11</v>
      </c>
      <c r="V50" s="5">
        <v>4</v>
      </c>
      <c r="W50" s="5">
        <v>73.2</v>
      </c>
      <c r="X50" s="5">
        <v>392</v>
      </c>
      <c r="Y50" s="5">
        <v>69.900000000000006</v>
      </c>
      <c r="Z50" s="5">
        <v>140.34</v>
      </c>
      <c r="AA50" s="5">
        <v>87.4</v>
      </c>
      <c r="AB50" s="7" t="s">
        <v>54</v>
      </c>
      <c r="AC50" s="15">
        <f>AVERAGE(Table1[[#This Row],[Internet_4G_Coverage_Pct]],Table1[[#This Row],[Pucca_Road_Pct]],Table1[[#This Row],[JJM_Functional_Tap_Connections_Pct]])</f>
        <v>44.366666666666667</v>
      </c>
      <c r="AD50" s="16">
        <f>(Table1[BPL_Households_Pct]+Table1[MGNREGS_Person_Days_FY2425]/Table1[Electorate_2023])/2</f>
        <v>25.992965972574911</v>
      </c>
      <c r="AE50" s="16" t="str">
        <f>IF(Table1[Constituency_Fund_Utilized_Pct]&lt;60,"Low","High")</f>
        <v>High</v>
      </c>
    </row>
    <row r="51" spans="1:31" x14ac:dyDescent="0.25">
      <c r="A51" s="6" t="s">
        <v>119</v>
      </c>
      <c r="B51" s="5" t="s">
        <v>120</v>
      </c>
      <c r="C51" s="5" t="s">
        <v>117</v>
      </c>
      <c r="D51" s="5" t="s">
        <v>118</v>
      </c>
      <c r="E51" s="5">
        <v>15136</v>
      </c>
      <c r="F51" s="5">
        <v>82</v>
      </c>
      <c r="G51" s="5">
        <v>2368</v>
      </c>
      <c r="H51" s="5">
        <v>54.2</v>
      </c>
      <c r="I51" s="5">
        <v>1283</v>
      </c>
      <c r="J51" s="5">
        <v>875</v>
      </c>
      <c r="K51" s="5">
        <v>49033</v>
      </c>
      <c r="L51" s="5">
        <v>184</v>
      </c>
      <c r="M51" s="5">
        <v>145</v>
      </c>
      <c r="N51" s="5">
        <v>79</v>
      </c>
      <c r="O51" s="5">
        <v>45</v>
      </c>
      <c r="P51" s="5">
        <v>237.1</v>
      </c>
      <c r="Q51" s="5">
        <v>34.799999999999997</v>
      </c>
      <c r="R51" s="5">
        <v>17</v>
      </c>
      <c r="S51" s="5">
        <v>3</v>
      </c>
      <c r="T51" s="5">
        <v>1</v>
      </c>
      <c r="U51" s="5">
        <v>47</v>
      </c>
      <c r="V51" s="5">
        <v>15</v>
      </c>
      <c r="W51" s="5">
        <v>74.900000000000006</v>
      </c>
      <c r="X51" s="5">
        <v>813</v>
      </c>
      <c r="Y51" s="5">
        <v>38.5</v>
      </c>
      <c r="Z51" s="5">
        <v>182.21</v>
      </c>
      <c r="AA51" s="5">
        <v>87.4</v>
      </c>
      <c r="AB51" s="7" t="s">
        <v>59</v>
      </c>
      <c r="AC51" s="15">
        <f>AVERAGE(Table1[[#This Row],[Internet_4G_Coverage_Pct]],Table1[[#This Row],[Pucca_Road_Pct]],Table1[[#This Row],[JJM_Functional_Tap_Connections_Pct]])</f>
        <v>39.43333333333333</v>
      </c>
      <c r="AD51" s="16">
        <f>(Table1[BPL_Households_Pct]+Table1[MGNREGS_Person_Days_FY2425]/Table1[Electorate_2023])/2</f>
        <v>28.719747621564483</v>
      </c>
      <c r="AE51" s="16" t="str">
        <f>IF(Table1[Constituency_Fund_Utilized_Pct]&lt;60,"Low","High")</f>
        <v>High</v>
      </c>
    </row>
    <row r="52" spans="1:31" x14ac:dyDescent="0.25">
      <c r="A52" s="6" t="s">
        <v>44</v>
      </c>
      <c r="B52" s="5" t="s">
        <v>45</v>
      </c>
      <c r="C52" s="5" t="s">
        <v>28</v>
      </c>
      <c r="D52" s="5" t="s">
        <v>29</v>
      </c>
      <c r="E52" s="5">
        <v>45182</v>
      </c>
      <c r="F52" s="5">
        <v>69.3</v>
      </c>
      <c r="G52" s="5">
        <v>7093</v>
      </c>
      <c r="H52" s="5">
        <v>19.5</v>
      </c>
      <c r="I52" s="5">
        <v>1383</v>
      </c>
      <c r="J52" s="5">
        <v>324</v>
      </c>
      <c r="K52" s="5">
        <v>10137</v>
      </c>
      <c r="L52" s="5">
        <v>158</v>
      </c>
      <c r="M52" s="5">
        <v>75</v>
      </c>
      <c r="N52" s="5">
        <v>48</v>
      </c>
      <c r="O52" s="5">
        <v>62.7</v>
      </c>
      <c r="P52" s="5">
        <v>68.2</v>
      </c>
      <c r="Q52" s="5">
        <v>84.7</v>
      </c>
      <c r="R52" s="5">
        <v>3</v>
      </c>
      <c r="S52" s="5">
        <v>1</v>
      </c>
      <c r="T52" s="5">
        <v>2</v>
      </c>
      <c r="U52" s="5">
        <v>48</v>
      </c>
      <c r="V52" s="5">
        <v>4</v>
      </c>
      <c r="W52" s="5">
        <v>85.2</v>
      </c>
      <c r="X52" s="5">
        <v>182</v>
      </c>
      <c r="Y52" s="5">
        <v>65.2</v>
      </c>
      <c r="Z52" s="5">
        <v>188.65</v>
      </c>
      <c r="AA52" s="5">
        <v>87.9</v>
      </c>
      <c r="AB52" s="7" t="s">
        <v>30</v>
      </c>
      <c r="AC52" s="15">
        <f>AVERAGE(Table1[[#This Row],[Internet_4G_Coverage_Pct]],Table1[[#This Row],[Pucca_Road_Pct]],Table1[[#This Row],[JJM_Functional_Tap_Connections_Pct]])</f>
        <v>70.866666666666674</v>
      </c>
      <c r="AD52" s="16">
        <f>(Table1[BPL_Households_Pct]+Table1[MGNREGS_Person_Days_FY2425]/Table1[Electorate_2023])/2</f>
        <v>9.8621796290558184</v>
      </c>
      <c r="AE52" s="16" t="str">
        <f>IF(Table1[Constituency_Fund_Utilized_Pct]&lt;60,"Low","High")</f>
        <v>High</v>
      </c>
    </row>
    <row r="53" spans="1:31" x14ac:dyDescent="0.25">
      <c r="A53" s="6" t="s">
        <v>81</v>
      </c>
      <c r="B53" s="5" t="s">
        <v>82</v>
      </c>
      <c r="C53" s="5" t="s">
        <v>83</v>
      </c>
      <c r="D53" s="5" t="s">
        <v>83</v>
      </c>
      <c r="E53" s="5">
        <v>30767</v>
      </c>
      <c r="F53" s="5">
        <v>90</v>
      </c>
      <c r="G53" s="5">
        <v>4148</v>
      </c>
      <c r="H53" s="5">
        <v>42.6</v>
      </c>
      <c r="I53" s="5">
        <v>1767</v>
      </c>
      <c r="J53" s="5">
        <v>1177</v>
      </c>
      <c r="K53" s="5">
        <v>72685</v>
      </c>
      <c r="L53" s="5">
        <v>338</v>
      </c>
      <c r="M53" s="5">
        <v>267</v>
      </c>
      <c r="N53" s="5">
        <v>79</v>
      </c>
      <c r="O53" s="5">
        <v>69.099999999999994</v>
      </c>
      <c r="P53" s="5">
        <v>300.7</v>
      </c>
      <c r="Q53" s="5">
        <v>71.2</v>
      </c>
      <c r="R53" s="5">
        <v>2</v>
      </c>
      <c r="S53" s="5">
        <v>4</v>
      </c>
      <c r="T53" s="5">
        <v>2</v>
      </c>
      <c r="U53" s="5">
        <v>44</v>
      </c>
      <c r="V53" s="5">
        <v>3</v>
      </c>
      <c r="W53" s="5">
        <v>60.2</v>
      </c>
      <c r="X53" s="5">
        <v>693</v>
      </c>
      <c r="Y53" s="5">
        <v>32</v>
      </c>
      <c r="Z53" s="5">
        <v>131.43</v>
      </c>
      <c r="AA53" s="5">
        <v>88.3</v>
      </c>
      <c r="AB53" s="7" t="s">
        <v>59</v>
      </c>
      <c r="AC53" s="15">
        <f>AVERAGE(Table1[[#This Row],[Internet_4G_Coverage_Pct]],Table1[[#This Row],[Pucca_Road_Pct]],Table1[[#This Row],[JJM_Functional_Tap_Connections_Pct]])</f>
        <v>57.433333333333337</v>
      </c>
      <c r="AD53" s="16">
        <f>(Table1[BPL_Households_Pct]+Table1[MGNREGS_Person_Days_FY2425]/Table1[Electorate_2023])/2</f>
        <v>22.481216888224395</v>
      </c>
      <c r="AE53" s="16" t="str">
        <f>IF(Table1[Constituency_Fund_Utilized_Pct]&lt;60,"Low","High")</f>
        <v>High</v>
      </c>
    </row>
    <row r="54" spans="1:31" x14ac:dyDescent="0.25">
      <c r="A54" s="6" t="s">
        <v>77</v>
      </c>
      <c r="B54" s="5" t="s">
        <v>78</v>
      </c>
      <c r="C54" s="5" t="s">
        <v>72</v>
      </c>
      <c r="D54" s="5" t="s">
        <v>29</v>
      </c>
      <c r="E54" s="5">
        <v>24983</v>
      </c>
      <c r="F54" s="5">
        <v>88.6</v>
      </c>
      <c r="G54" s="5">
        <v>3990</v>
      </c>
      <c r="H54" s="5">
        <v>50.3</v>
      </c>
      <c r="I54" s="5">
        <v>2006</v>
      </c>
      <c r="J54" s="5">
        <v>1388</v>
      </c>
      <c r="K54" s="5">
        <v>62970</v>
      </c>
      <c r="L54" s="5">
        <v>229</v>
      </c>
      <c r="M54" s="5">
        <v>171</v>
      </c>
      <c r="N54" s="5">
        <v>75</v>
      </c>
      <c r="O54" s="5">
        <v>64.900000000000006</v>
      </c>
      <c r="P54" s="5">
        <v>205.1</v>
      </c>
      <c r="Q54" s="5">
        <v>55.6</v>
      </c>
      <c r="R54" s="5">
        <v>10</v>
      </c>
      <c r="S54" s="5">
        <v>4</v>
      </c>
      <c r="T54" s="5">
        <v>0</v>
      </c>
      <c r="U54" s="5">
        <v>53</v>
      </c>
      <c r="V54" s="5">
        <v>12</v>
      </c>
      <c r="W54" s="5">
        <v>64.099999999999994</v>
      </c>
      <c r="X54" s="5">
        <v>562</v>
      </c>
      <c r="Y54" s="5">
        <v>26.1</v>
      </c>
      <c r="Z54" s="5">
        <v>120.3</v>
      </c>
      <c r="AA54" s="5">
        <v>90</v>
      </c>
      <c r="AB54" s="7" t="s">
        <v>51</v>
      </c>
      <c r="AC54" s="15">
        <f>AVERAGE(Table1[[#This Row],[Internet_4G_Coverage_Pct]],Table1[[#This Row],[Pucca_Road_Pct]],Table1[[#This Row],[JJM_Functional_Tap_Connections_Pct]])</f>
        <v>48.866666666666674</v>
      </c>
      <c r="AD54" s="16">
        <f>(Table1[BPL_Households_Pct]+Table1[MGNREGS_Person_Days_FY2425]/Table1[Electorate_2023])/2</f>
        <v>26.410256974742822</v>
      </c>
      <c r="AE54" s="16" t="str">
        <f>IF(Table1[Constituency_Fund_Utilized_Pct]&lt;60,"Low","High")</f>
        <v>High</v>
      </c>
    </row>
    <row r="55" spans="1:31" x14ac:dyDescent="0.25">
      <c r="A55" s="6" t="s">
        <v>49</v>
      </c>
      <c r="B55" s="5" t="s">
        <v>50</v>
      </c>
      <c r="C55" s="5" t="s">
        <v>28</v>
      </c>
      <c r="D55" s="5" t="s">
        <v>29</v>
      </c>
      <c r="E55" s="5">
        <v>25700</v>
      </c>
      <c r="F55" s="5">
        <v>74.8</v>
      </c>
      <c r="G55" s="5">
        <v>4070</v>
      </c>
      <c r="H55" s="5">
        <v>54.2</v>
      </c>
      <c r="I55" s="5">
        <v>2205</v>
      </c>
      <c r="J55" s="5">
        <v>1262</v>
      </c>
      <c r="K55" s="5">
        <v>84958</v>
      </c>
      <c r="L55" s="5">
        <v>440</v>
      </c>
      <c r="M55" s="5">
        <v>218</v>
      </c>
      <c r="N55" s="5">
        <v>49.6</v>
      </c>
      <c r="O55" s="5">
        <v>58.5</v>
      </c>
      <c r="P55" s="5">
        <v>209.7</v>
      </c>
      <c r="Q55" s="5">
        <v>28.6</v>
      </c>
      <c r="R55" s="5">
        <v>4</v>
      </c>
      <c r="S55" s="5">
        <v>2</v>
      </c>
      <c r="T55" s="5">
        <v>0</v>
      </c>
      <c r="U55" s="5">
        <v>34</v>
      </c>
      <c r="V55" s="5">
        <v>18</v>
      </c>
      <c r="W55" s="5">
        <v>70.5</v>
      </c>
      <c r="X55" s="5">
        <v>662</v>
      </c>
      <c r="Y55" s="5">
        <v>18.100000000000001</v>
      </c>
      <c r="Z55" s="5">
        <v>183.76</v>
      </c>
      <c r="AA55" s="5">
        <v>90.7</v>
      </c>
      <c r="AB55" s="7" t="s">
        <v>51</v>
      </c>
      <c r="AC55" s="15">
        <f>AVERAGE(Table1[[#This Row],[Internet_4G_Coverage_Pct]],Table1[[#This Row],[Pucca_Road_Pct]],Table1[[#This Row],[JJM_Functional_Tap_Connections_Pct]])</f>
        <v>35.06666666666667</v>
      </c>
      <c r="AD55" s="16">
        <f>(Table1[BPL_Households_Pct]+Table1[MGNREGS_Person_Days_FY2425]/Table1[Electorate_2023])/2</f>
        <v>28.75287937743191</v>
      </c>
      <c r="AE55" s="16" t="str">
        <f>IF(Table1[Constituency_Fund_Utilized_Pct]&lt;60,"Low","High")</f>
        <v>High</v>
      </c>
    </row>
    <row r="56" spans="1:31" x14ac:dyDescent="0.25">
      <c r="A56" s="6" t="s">
        <v>57</v>
      </c>
      <c r="B56" s="5" t="s">
        <v>58</v>
      </c>
      <c r="C56" s="5" t="s">
        <v>28</v>
      </c>
      <c r="D56" s="5" t="s">
        <v>29</v>
      </c>
      <c r="E56" s="5">
        <v>11305</v>
      </c>
      <c r="F56" s="5">
        <v>81.2</v>
      </c>
      <c r="G56" s="5">
        <v>1629</v>
      </c>
      <c r="H56" s="5">
        <v>30.2</v>
      </c>
      <c r="I56" s="5">
        <v>491</v>
      </c>
      <c r="J56" s="5">
        <v>301</v>
      </c>
      <c r="K56" s="5">
        <v>13728</v>
      </c>
      <c r="L56" s="5">
        <v>103</v>
      </c>
      <c r="M56" s="5">
        <v>88</v>
      </c>
      <c r="N56" s="5">
        <v>86.4</v>
      </c>
      <c r="O56" s="5">
        <v>71.2</v>
      </c>
      <c r="P56" s="5">
        <v>168.7</v>
      </c>
      <c r="Q56" s="5">
        <v>34.9</v>
      </c>
      <c r="R56" s="5">
        <v>11</v>
      </c>
      <c r="S56" s="5">
        <v>5</v>
      </c>
      <c r="T56" s="5">
        <v>2</v>
      </c>
      <c r="U56" s="5">
        <v>41</v>
      </c>
      <c r="V56" s="5">
        <v>3</v>
      </c>
      <c r="W56" s="5">
        <v>75.400000000000006</v>
      </c>
      <c r="X56" s="5">
        <v>239</v>
      </c>
      <c r="Y56" s="5">
        <v>65.400000000000006</v>
      </c>
      <c r="Z56" s="5">
        <v>146.55000000000001</v>
      </c>
      <c r="AA56" s="5">
        <v>92.6</v>
      </c>
      <c r="AB56" s="7" t="s">
        <v>59</v>
      </c>
      <c r="AC56" s="15">
        <f>AVERAGE(Table1[[#This Row],[Internet_4G_Coverage_Pct]],Table1[[#This Row],[Pucca_Road_Pct]],Table1[[#This Row],[JJM_Functional_Tap_Connections_Pct]])</f>
        <v>57.166666666666664</v>
      </c>
      <c r="AD56" s="16">
        <f>(Table1[BPL_Households_Pct]+Table1[MGNREGS_Person_Days_FY2425]/Table1[Electorate_2023])/2</f>
        <v>15.707164971251657</v>
      </c>
      <c r="AE56" s="16" t="str">
        <f>IF(Table1[Constituency_Fund_Utilized_Pct]&lt;60,"Low","High")</f>
        <v>High</v>
      </c>
    </row>
    <row r="57" spans="1:31" x14ac:dyDescent="0.25">
      <c r="A57" s="6" t="s">
        <v>75</v>
      </c>
      <c r="B57" s="5" t="s">
        <v>76</v>
      </c>
      <c r="C57" s="5" t="s">
        <v>72</v>
      </c>
      <c r="D57" s="5" t="s">
        <v>29</v>
      </c>
      <c r="E57" s="5">
        <v>32497</v>
      </c>
      <c r="F57" s="5">
        <v>85.8</v>
      </c>
      <c r="G57" s="5">
        <v>4646</v>
      </c>
      <c r="H57" s="5">
        <v>54.6</v>
      </c>
      <c r="I57" s="5">
        <v>2536</v>
      </c>
      <c r="J57" s="5">
        <v>1987</v>
      </c>
      <c r="K57" s="5">
        <v>86938</v>
      </c>
      <c r="L57" s="5">
        <v>488</v>
      </c>
      <c r="M57" s="5">
        <v>379</v>
      </c>
      <c r="N57" s="5">
        <v>77.7</v>
      </c>
      <c r="O57" s="5">
        <v>48</v>
      </c>
      <c r="P57" s="5">
        <v>213.8</v>
      </c>
      <c r="Q57" s="5">
        <v>68.400000000000006</v>
      </c>
      <c r="R57" s="5">
        <v>5</v>
      </c>
      <c r="S57" s="5">
        <v>4</v>
      </c>
      <c r="T57" s="5">
        <v>0</v>
      </c>
      <c r="U57" s="5">
        <v>37</v>
      </c>
      <c r="V57" s="5">
        <v>19</v>
      </c>
      <c r="W57" s="5">
        <v>83.7</v>
      </c>
      <c r="X57" s="5">
        <v>1634</v>
      </c>
      <c r="Y57" s="5">
        <v>51.1</v>
      </c>
      <c r="Z57" s="5">
        <v>151.44999999999999</v>
      </c>
      <c r="AA57" s="5">
        <v>93.8</v>
      </c>
      <c r="AB57" s="7" t="s">
        <v>48</v>
      </c>
      <c r="AC57" s="15">
        <f>AVERAGE(Table1[[#This Row],[Internet_4G_Coverage_Pct]],Table1[[#This Row],[Pucca_Road_Pct]],Table1[[#This Row],[JJM_Functional_Tap_Connections_Pct]])</f>
        <v>55.833333333333336</v>
      </c>
      <c r="AD57" s="16">
        <f>(Table1[BPL_Households_Pct]+Table1[MGNREGS_Person_Days_FY2425]/Table1[Electorate_2023])/2</f>
        <v>28.637631165953781</v>
      </c>
      <c r="AE57" s="16" t="str">
        <f>IF(Table1[Constituency_Fund_Utilized_Pct]&lt;60,"Low","High")</f>
        <v>High</v>
      </c>
    </row>
    <row r="58" spans="1:31" x14ac:dyDescent="0.25">
      <c r="A58" s="6" t="s">
        <v>40</v>
      </c>
      <c r="B58" s="5" t="s">
        <v>41</v>
      </c>
      <c r="C58" s="5" t="s">
        <v>28</v>
      </c>
      <c r="D58" s="5" t="s">
        <v>29</v>
      </c>
      <c r="E58" s="5">
        <v>54293</v>
      </c>
      <c r="F58" s="5">
        <v>57.2</v>
      </c>
      <c r="G58" s="5">
        <v>7890</v>
      </c>
      <c r="H58" s="5">
        <v>31.1</v>
      </c>
      <c r="I58" s="5">
        <v>2453</v>
      </c>
      <c r="J58" s="5">
        <v>567</v>
      </c>
      <c r="K58" s="5">
        <v>15073</v>
      </c>
      <c r="L58" s="5">
        <v>368</v>
      </c>
      <c r="M58" s="5">
        <v>196</v>
      </c>
      <c r="N58" s="5">
        <v>53.4</v>
      </c>
      <c r="O58" s="5">
        <v>92.1</v>
      </c>
      <c r="P58" s="5">
        <v>87.2</v>
      </c>
      <c r="Q58" s="5">
        <v>77.5</v>
      </c>
      <c r="R58" s="5">
        <v>8</v>
      </c>
      <c r="S58" s="5">
        <v>5</v>
      </c>
      <c r="T58" s="5">
        <v>2</v>
      </c>
      <c r="U58" s="5">
        <v>20</v>
      </c>
      <c r="V58" s="5">
        <v>7</v>
      </c>
      <c r="W58" s="5">
        <v>87.2</v>
      </c>
      <c r="X58" s="5">
        <v>740</v>
      </c>
      <c r="Y58" s="5">
        <v>94.5</v>
      </c>
      <c r="Z58" s="5">
        <v>99.39</v>
      </c>
      <c r="AA58" s="5">
        <v>94</v>
      </c>
      <c r="AB58" s="7" t="s">
        <v>30</v>
      </c>
      <c r="AC58" s="15">
        <f>AVERAGE(Table1[[#This Row],[Internet_4G_Coverage_Pct]],Table1[[#This Row],[Pucca_Road_Pct]],Table1[[#This Row],[JJM_Functional_Tap_Connections_Pct]])</f>
        <v>88.033333333333346</v>
      </c>
      <c r="AD58" s="16">
        <f>(Table1[BPL_Households_Pct]+Table1[MGNREGS_Person_Days_FY2425]/Table1[Electorate_2023])/2</f>
        <v>15.688811633175549</v>
      </c>
      <c r="AE58" s="16" t="str">
        <f>IF(Table1[Constituency_Fund_Utilized_Pct]&lt;60,"Low","High")</f>
        <v>High</v>
      </c>
    </row>
    <row r="59" spans="1:31" x14ac:dyDescent="0.25">
      <c r="A59" s="6" t="s">
        <v>79</v>
      </c>
      <c r="B59" s="5" t="s">
        <v>80</v>
      </c>
      <c r="C59" s="5" t="s">
        <v>72</v>
      </c>
      <c r="D59" s="5" t="s">
        <v>29</v>
      </c>
      <c r="E59" s="5">
        <v>33739</v>
      </c>
      <c r="F59" s="5">
        <v>75.099999999999994</v>
      </c>
      <c r="G59" s="5">
        <v>5209</v>
      </c>
      <c r="H59" s="5">
        <v>37.9</v>
      </c>
      <c r="I59" s="5">
        <v>1974</v>
      </c>
      <c r="J59" s="5">
        <v>1361</v>
      </c>
      <c r="K59" s="5">
        <v>51024</v>
      </c>
      <c r="L59" s="5">
        <v>388</v>
      </c>
      <c r="M59" s="5">
        <v>245</v>
      </c>
      <c r="N59" s="5">
        <v>63.3</v>
      </c>
      <c r="O59" s="5">
        <v>65.099999999999994</v>
      </c>
      <c r="P59" s="5">
        <v>307.10000000000002</v>
      </c>
      <c r="Q59" s="5">
        <v>28.9</v>
      </c>
      <c r="R59" s="5">
        <v>14</v>
      </c>
      <c r="S59" s="5">
        <v>4</v>
      </c>
      <c r="T59" s="5">
        <v>0</v>
      </c>
      <c r="U59" s="5">
        <v>30</v>
      </c>
      <c r="V59" s="5">
        <v>12</v>
      </c>
      <c r="W59" s="5">
        <v>77.599999999999994</v>
      </c>
      <c r="X59" s="5">
        <v>1192</v>
      </c>
      <c r="Y59" s="5">
        <v>58.4</v>
      </c>
      <c r="Z59" s="5">
        <v>182.41</v>
      </c>
      <c r="AA59" s="5">
        <v>94</v>
      </c>
      <c r="AB59" s="7" t="s">
        <v>48</v>
      </c>
      <c r="AC59" s="15">
        <f>AVERAGE(Table1[[#This Row],[Internet_4G_Coverage_Pct]],Table1[[#This Row],[Pucca_Road_Pct]],Table1[[#This Row],[JJM_Functional_Tap_Connections_Pct]])</f>
        <v>50.79999999999999</v>
      </c>
      <c r="AD59" s="16">
        <f>(Table1[BPL_Households_Pct]+Table1[MGNREGS_Person_Days_FY2425]/Table1[Electorate_2023])/2</f>
        <v>19.706157562464803</v>
      </c>
      <c r="AE59" s="16" t="str">
        <f>IF(Table1[Constituency_Fund_Utilized_Pct]&lt;60,"Low","High")</f>
        <v>High</v>
      </c>
    </row>
    <row r="60" spans="1:31" x14ac:dyDescent="0.25">
      <c r="A60" s="8" t="s">
        <v>34</v>
      </c>
      <c r="B60" s="9" t="s">
        <v>35</v>
      </c>
      <c r="C60" s="9" t="s">
        <v>28</v>
      </c>
      <c r="D60" s="9" t="s">
        <v>29</v>
      </c>
      <c r="E60" s="9">
        <v>37229</v>
      </c>
      <c r="F60" s="9">
        <v>72.099999999999994</v>
      </c>
      <c r="G60" s="9">
        <v>4649</v>
      </c>
      <c r="H60" s="9">
        <v>21.1</v>
      </c>
      <c r="I60" s="9">
        <v>980</v>
      </c>
      <c r="J60" s="9">
        <v>220</v>
      </c>
      <c r="K60" s="9">
        <v>5294</v>
      </c>
      <c r="L60" s="9">
        <v>127</v>
      </c>
      <c r="M60" s="9">
        <v>97</v>
      </c>
      <c r="N60" s="9">
        <v>76.5</v>
      </c>
      <c r="O60" s="9">
        <v>85.2</v>
      </c>
      <c r="P60" s="9">
        <v>76</v>
      </c>
      <c r="Q60" s="9">
        <v>71.8</v>
      </c>
      <c r="R60" s="9">
        <v>8</v>
      </c>
      <c r="S60" s="9">
        <v>2</v>
      </c>
      <c r="T60" s="9">
        <v>2</v>
      </c>
      <c r="U60" s="9">
        <v>54</v>
      </c>
      <c r="V60" s="9">
        <v>10</v>
      </c>
      <c r="W60" s="9">
        <v>84.3</v>
      </c>
      <c r="X60" s="9">
        <v>331</v>
      </c>
      <c r="Y60" s="9">
        <v>78.900000000000006</v>
      </c>
      <c r="Z60" s="9">
        <v>125.53</v>
      </c>
      <c r="AA60" s="9">
        <v>96.3</v>
      </c>
      <c r="AB60" s="10" t="s">
        <v>30</v>
      </c>
      <c r="AC60" s="15">
        <f>AVERAGE(Table1[[#This Row],[Internet_4G_Coverage_Pct]],Table1[[#This Row],[Pucca_Road_Pct]],Table1[[#This Row],[JJM_Functional_Tap_Connections_Pct]])</f>
        <v>78.633333333333326</v>
      </c>
      <c r="AD60" s="16">
        <f>(Table1[BPL_Households_Pct]+Table1[MGNREGS_Person_Days_FY2425]/Table1[Electorate_2023])/2</f>
        <v>10.621100486180129</v>
      </c>
      <c r="AE60" s="16" t="str">
        <f>IF(Table1[Constituency_Fund_Utilized_Pct]&lt;60,"Low","High")</f>
        <v>High</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F45"/>
  <sheetViews>
    <sheetView showGridLines="0" workbookViewId="0"/>
  </sheetViews>
  <sheetFormatPr defaultRowHeight="15" x14ac:dyDescent="0.25"/>
  <cols>
    <col min="1" max="1" width="29" style="1" bestFit="1" customWidth="1"/>
    <col min="2" max="2" width="24.28515625" bestFit="1" customWidth="1"/>
    <col min="3" max="3" width="25.85546875" bestFit="1" customWidth="1"/>
  </cols>
  <sheetData>
    <row r="1" spans="1:6" x14ac:dyDescent="0.25">
      <c r="A1" s="4" t="s">
        <v>165</v>
      </c>
      <c r="B1" s="4" t="s">
        <v>166</v>
      </c>
      <c r="C1" s="4" t="s">
        <v>167</v>
      </c>
      <c r="D1" s="4" t="s">
        <v>168</v>
      </c>
      <c r="E1" s="4" t="s">
        <v>169</v>
      </c>
      <c r="F1" s="4" t="s">
        <v>170</v>
      </c>
    </row>
    <row r="2" spans="1:6" x14ac:dyDescent="0.25">
      <c r="A2" s="13" t="s">
        <v>4</v>
      </c>
      <c r="B2" s="16">
        <f>AVERAGE(Table1[Electorate_2023])</f>
        <v>29684.525423728814</v>
      </c>
      <c r="C2" s="17">
        <f>MEDIAN(Table1[Electorate_2023])</f>
        <v>24903</v>
      </c>
      <c r="D2" s="5">
        <f>MIN(Table1[Electorate_2023])</f>
        <v>11305</v>
      </c>
      <c r="E2" s="5">
        <f>MAX(Table1[Electorate_2023])</f>
        <v>63978</v>
      </c>
      <c r="F2" s="16">
        <f>_xlfn.STDEV.P(Table1[Electorate_2023])</f>
        <v>14805.383945537425</v>
      </c>
    </row>
    <row r="3" spans="1:6" x14ac:dyDescent="0.25">
      <c r="A3" s="13" t="s">
        <v>5</v>
      </c>
      <c r="B3" s="16">
        <f>AVERAGE(Table1[Voter_Turnout_2023_Pct])</f>
        <v>78.225423728813595</v>
      </c>
      <c r="C3" s="17">
        <f>MEDIAN(Table1[Voter_Turnout_2023_Pct])</f>
        <v>78.900000000000006</v>
      </c>
      <c r="D3" s="5">
        <f>MIN(Table1[Voter_Turnout_2023_Pct])</f>
        <v>57.2</v>
      </c>
      <c r="E3" s="5">
        <f>MAX(Table1[Voter_Turnout_2023_Pct])</f>
        <v>91.1</v>
      </c>
      <c r="F3" s="16">
        <f>_xlfn.STDEV.P(Table1[Voter_Turnout_2023_Pct])</f>
        <v>8.2629168162323143</v>
      </c>
    </row>
    <row r="4" spans="1:6" x14ac:dyDescent="0.25">
      <c r="A4" s="13" t="s">
        <v>7</v>
      </c>
      <c r="B4" s="16">
        <f>AVERAGE(Table1[BPL_Households_Pct])</f>
        <v>38.662711864406774</v>
      </c>
      <c r="C4" s="17">
        <f>MEDIAN(Table1[BPL_Households_Pct])</f>
        <v>39.700000000000003</v>
      </c>
      <c r="D4" s="5">
        <f>MIN(Table1[BPL_Households_Pct])</f>
        <v>12.6</v>
      </c>
      <c r="E4" s="5">
        <f>MAX(Table1[BPL_Households_Pct])</f>
        <v>58</v>
      </c>
      <c r="F4" s="16">
        <f>_xlfn.STDEV.P(Table1[BPL_Households_Pct])</f>
        <v>11.309676347556113</v>
      </c>
    </row>
    <row r="5" spans="1:6" x14ac:dyDescent="0.25">
      <c r="A5" s="13" t="s">
        <v>10</v>
      </c>
      <c r="B5" s="16">
        <f>AVERAGE(Table1[MGNREGS_Person_Days_FY2425])</f>
        <v>46590.864406779663</v>
      </c>
      <c r="C5" s="17">
        <f>MEDIAN(Table1[MGNREGS_Person_Days_FY2425])</f>
        <v>47869</v>
      </c>
      <c r="D5" s="5">
        <f>MIN(Table1[MGNREGS_Person_Days_FY2425])</f>
        <v>3203</v>
      </c>
      <c r="E5" s="5">
        <f>MAX(Table1[MGNREGS_Person_Days_FY2425])</f>
        <v>118557</v>
      </c>
      <c r="F5" s="16">
        <f>_xlfn.STDEV.P(Table1[MGNREGS_Person_Days_FY2425])</f>
        <v>28609.75600963362</v>
      </c>
    </row>
    <row r="6" spans="1:6" x14ac:dyDescent="0.25">
      <c r="A6" s="13" t="s">
        <v>13</v>
      </c>
      <c r="B6" s="16">
        <f>AVERAGE(Table1[PM_Awas_Completion_Pct])</f>
        <v>71.762711864406796</v>
      </c>
      <c r="C6" s="17">
        <f>MEDIAN(Table1[PM_Awas_Completion_Pct])</f>
        <v>73.599999999999994</v>
      </c>
      <c r="D6" s="5">
        <f>MIN(Table1[PM_Awas_Completion_Pct])</f>
        <v>46.9</v>
      </c>
      <c r="E6" s="5">
        <f>MAX(Table1[PM_Awas_Completion_Pct])</f>
        <v>91.2</v>
      </c>
      <c r="F6" s="16">
        <f>_xlfn.STDEV.P(Table1[PM_Awas_Completion_Pct])</f>
        <v>12.222969462299117</v>
      </c>
    </row>
    <row r="7" spans="1:6" x14ac:dyDescent="0.25">
      <c r="A7" s="13" t="s">
        <v>14</v>
      </c>
      <c r="B7" s="16">
        <f>AVERAGE(Table1[JJM_Functional_Tap_Connections_Pct])</f>
        <v>52.254237288135585</v>
      </c>
      <c r="C7" s="17">
        <f>MEDIAN(Table1[JJM_Functional_Tap_Connections_Pct])</f>
        <v>53.3</v>
      </c>
      <c r="D7" s="5">
        <f>MIN(Table1[JJM_Functional_Tap_Connections_Pct])</f>
        <v>23.4</v>
      </c>
      <c r="E7" s="5">
        <f>MAX(Table1[JJM_Functional_Tap_Connections_Pct])</f>
        <v>92.1</v>
      </c>
      <c r="F7" s="16">
        <f>_xlfn.STDEV.P(Table1[JJM_Functional_Tap_Connections_Pct])</f>
        <v>19.817338086258005</v>
      </c>
    </row>
    <row r="8" spans="1:6" x14ac:dyDescent="0.25">
      <c r="A8" s="13" t="s">
        <v>15</v>
      </c>
      <c r="B8" s="16">
        <f>AVERAGE(Table1[Road_Length_Km])</f>
        <v>161.49661016949156</v>
      </c>
      <c r="C8" s="17">
        <f>MEDIAN(Table1[Road_Length_Km])</f>
        <v>149.30000000000001</v>
      </c>
      <c r="D8" s="5">
        <f>MIN(Table1[Road_Length_Km])</f>
        <v>37.5</v>
      </c>
      <c r="E8" s="5">
        <f>MAX(Table1[Road_Length_Km])</f>
        <v>307.10000000000002</v>
      </c>
      <c r="F8" s="16">
        <f>_xlfn.STDEV.P(Table1[Road_Length_Km])</f>
        <v>77.440956111248312</v>
      </c>
    </row>
    <row r="9" spans="1:6" x14ac:dyDescent="0.25">
      <c r="A9" s="13" t="s">
        <v>16</v>
      </c>
      <c r="B9" s="16">
        <f>AVERAGE(Table1[Pucca_Road_Pct])</f>
        <v>57.833898305084745</v>
      </c>
      <c r="C9" s="17">
        <f>MEDIAN(Table1[Pucca_Road_Pct])</f>
        <v>57.5</v>
      </c>
      <c r="D9" s="5">
        <f>MIN(Table1[Pucca_Road_Pct])</f>
        <v>28</v>
      </c>
      <c r="E9" s="5">
        <f>MAX(Table1[Pucca_Road_Pct])</f>
        <v>91.8</v>
      </c>
      <c r="F9" s="16">
        <f>_xlfn.STDEV.P(Table1[Pucca_Road_Pct])</f>
        <v>18.925103140300561</v>
      </c>
    </row>
    <row r="10" spans="1:6" x14ac:dyDescent="0.25">
      <c r="A10" s="13" t="s">
        <v>22</v>
      </c>
      <c r="B10" s="16">
        <f>AVERAGE(Table1[Literacy_Rate_Pct])</f>
        <v>75.38983050847456</v>
      </c>
      <c r="C10" s="17">
        <f>MEDIAN(Table1[Literacy_Rate_Pct])</f>
        <v>75.599999999999994</v>
      </c>
      <c r="D10" s="5">
        <f>MIN(Table1[Literacy_Rate_Pct])</f>
        <v>58.7</v>
      </c>
      <c r="E10" s="5">
        <f>MAX(Table1[Literacy_Rate_Pct])</f>
        <v>95.3</v>
      </c>
      <c r="F10" s="16">
        <f>_xlfn.STDEV.P(Table1[Literacy_Rate_Pct])</f>
        <v>10.033650077094624</v>
      </c>
    </row>
    <row r="11" spans="1:6" x14ac:dyDescent="0.25">
      <c r="A11" s="13" t="s">
        <v>24</v>
      </c>
      <c r="B11" s="16">
        <f>AVERAGE(Table1[Internet_4G_Coverage_Pct])</f>
        <v>51.04915254237288</v>
      </c>
      <c r="C11" s="17">
        <f>MEDIAN(Table1[Internet_4G_Coverage_Pct])</f>
        <v>45.4</v>
      </c>
      <c r="D11" s="5">
        <f>MIN(Table1[Internet_4G_Coverage_Pct])</f>
        <v>18.100000000000001</v>
      </c>
      <c r="E11" s="5">
        <f>MAX(Table1[Internet_4G_Coverage_Pct])</f>
        <v>96.9</v>
      </c>
      <c r="F11" s="16">
        <f>_xlfn.STDEV.P(Table1[Internet_4G_Coverage_Pct])</f>
        <v>20.942458477419137</v>
      </c>
    </row>
    <row r="17" spans="1:1" x14ac:dyDescent="0.25">
      <c r="A17" s="25" t="s">
        <v>177</v>
      </c>
    </row>
    <row r="18" spans="1:1" x14ac:dyDescent="0.25">
      <c r="A18" s="26" t="s">
        <v>190</v>
      </c>
    </row>
    <row r="19" spans="1:1" x14ac:dyDescent="0.25">
      <c r="A19" s="27"/>
    </row>
    <row r="20" spans="1:1" x14ac:dyDescent="0.25">
      <c r="A20" s="28" t="s">
        <v>10</v>
      </c>
    </row>
    <row r="21" spans="1:1" x14ac:dyDescent="0.25">
      <c r="A21" s="27" t="s">
        <v>171</v>
      </c>
    </row>
    <row r="22" spans="1:1" x14ac:dyDescent="0.25">
      <c r="A22" s="27" t="s">
        <v>172</v>
      </c>
    </row>
    <row r="23" spans="1:1" x14ac:dyDescent="0.25">
      <c r="A23" s="27"/>
    </row>
    <row r="24" spans="1:1" x14ac:dyDescent="0.25">
      <c r="A24" s="28" t="s">
        <v>16</v>
      </c>
    </row>
    <row r="25" spans="1:1" x14ac:dyDescent="0.25">
      <c r="A25" s="27" t="s">
        <v>173</v>
      </c>
    </row>
    <row r="26" spans="1:1" x14ac:dyDescent="0.25">
      <c r="A26" s="27" t="s">
        <v>174</v>
      </c>
    </row>
    <row r="27" spans="1:1" x14ac:dyDescent="0.25">
      <c r="A27" s="27"/>
    </row>
    <row r="28" spans="1:1" x14ac:dyDescent="0.25">
      <c r="A28" s="28" t="s">
        <v>7</v>
      </c>
    </row>
    <row r="29" spans="1:1" x14ac:dyDescent="0.25">
      <c r="A29" s="27" t="s">
        <v>175</v>
      </c>
    </row>
    <row r="30" spans="1:1" x14ac:dyDescent="0.25">
      <c r="A30" s="27" t="s">
        <v>176</v>
      </c>
    </row>
    <row r="31" spans="1:1" x14ac:dyDescent="0.25">
      <c r="A31" s="27"/>
    </row>
    <row r="32" spans="1:1" x14ac:dyDescent="0.25">
      <c r="A32" s="28" t="s">
        <v>26</v>
      </c>
    </row>
    <row r="33" spans="1:3" x14ac:dyDescent="0.25">
      <c r="A33" s="27" t="s">
        <v>178</v>
      </c>
    </row>
    <row r="34" spans="1:3" x14ac:dyDescent="0.25">
      <c r="A34" s="1" t="s">
        <v>179</v>
      </c>
    </row>
    <row r="37" spans="1:3" x14ac:dyDescent="0.25">
      <c r="A37" s="29" t="s">
        <v>191</v>
      </c>
    </row>
    <row r="38" spans="1:3" x14ac:dyDescent="0.25">
      <c r="A38" s="27" t="s">
        <v>180</v>
      </c>
    </row>
    <row r="39" spans="1:3" x14ac:dyDescent="0.25">
      <c r="A39" s="27" t="s">
        <v>181</v>
      </c>
    </row>
    <row r="40" spans="1:3" x14ac:dyDescent="0.25">
      <c r="A40" s="27" t="s">
        <v>182</v>
      </c>
    </row>
    <row r="44" spans="1:3" x14ac:dyDescent="0.25">
      <c r="A44" s="20" t="s">
        <v>180</v>
      </c>
      <c r="B44" s="20" t="s">
        <v>181</v>
      </c>
      <c r="C44" s="20" t="s">
        <v>182</v>
      </c>
    </row>
    <row r="45" spans="1:3" s="30" customFormat="1" ht="202.5" x14ac:dyDescent="0.25">
      <c r="A45" s="36" t="s">
        <v>184</v>
      </c>
      <c r="B45" s="36" t="s">
        <v>183</v>
      </c>
      <c r="C45" s="36" t="s">
        <v>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D34"/>
  <sheetViews>
    <sheetView showGridLines="0" workbookViewId="0">
      <selection activeCell="A2" sqref="A2"/>
    </sheetView>
  </sheetViews>
  <sheetFormatPr defaultRowHeight="15" x14ac:dyDescent="0.25"/>
  <cols>
    <col min="1" max="1" width="8.85546875" bestFit="1" customWidth="1"/>
    <col min="2" max="2" width="34.28515625" bestFit="1" customWidth="1"/>
    <col min="3" max="3" width="19.28515625" bestFit="1" customWidth="1"/>
    <col min="4" max="4" width="20.42578125" bestFit="1" customWidth="1"/>
  </cols>
  <sheetData>
    <row r="3" spans="1:4" x14ac:dyDescent="0.25">
      <c r="A3" s="22" t="s">
        <v>3</v>
      </c>
      <c r="B3" s="3" t="s">
        <v>187</v>
      </c>
      <c r="C3" s="3" t="s">
        <v>188</v>
      </c>
      <c r="D3" s="3" t="s">
        <v>189</v>
      </c>
    </row>
    <row r="4" spans="1:4" x14ac:dyDescent="0.25">
      <c r="A4" s="1" t="s">
        <v>118</v>
      </c>
      <c r="B4" s="23">
        <v>43.357142857142861</v>
      </c>
      <c r="C4" s="23">
        <v>56.195238095238089</v>
      </c>
      <c r="D4" s="23">
        <v>74.028571428571439</v>
      </c>
    </row>
    <row r="5" spans="1:4" x14ac:dyDescent="0.25">
      <c r="A5" s="1" t="s">
        <v>95</v>
      </c>
      <c r="B5" s="23">
        <v>46.863636363636367</v>
      </c>
      <c r="C5" s="23">
        <v>49.927272727272729</v>
      </c>
      <c r="D5" s="23">
        <v>73.13636363636364</v>
      </c>
    </row>
    <row r="6" spans="1:4" x14ac:dyDescent="0.25">
      <c r="A6" s="1" t="s">
        <v>29</v>
      </c>
      <c r="B6" s="23">
        <v>62.18636363636363</v>
      </c>
      <c r="C6" s="23">
        <v>61.277272727272731</v>
      </c>
      <c r="D6" s="23">
        <v>78.445454545454538</v>
      </c>
    </row>
    <row r="7" spans="1:4" x14ac:dyDescent="0.25">
      <c r="A7" s="1" t="s">
        <v>83</v>
      </c>
      <c r="B7" s="23">
        <v>57.779999999999994</v>
      </c>
      <c r="C7" s="23">
        <v>66.960000000000008</v>
      </c>
      <c r="D7" s="23">
        <v>72.61999999999999</v>
      </c>
    </row>
    <row r="8" spans="1:4" x14ac:dyDescent="0.25">
      <c r="A8" s="1" t="s">
        <v>186</v>
      </c>
      <c r="B8" s="23">
        <v>52.254237288135585</v>
      </c>
      <c r="C8" s="23">
        <v>57.833898305084759</v>
      </c>
      <c r="D8" s="23">
        <v>75.38983050847456</v>
      </c>
    </row>
    <row r="26" spans="1:1" x14ac:dyDescent="0.25">
      <c r="A26" s="1" t="s">
        <v>192</v>
      </c>
    </row>
    <row r="27" spans="1:1" x14ac:dyDescent="0.25">
      <c r="A27" s="1"/>
    </row>
    <row r="28" spans="1:1" x14ac:dyDescent="0.25">
      <c r="A28" s="1" t="s">
        <v>193</v>
      </c>
    </row>
    <row r="29" spans="1:1" x14ac:dyDescent="0.25">
      <c r="A29" s="1"/>
    </row>
    <row r="30" spans="1:1" x14ac:dyDescent="0.25">
      <c r="A30" s="1" t="s">
        <v>194</v>
      </c>
    </row>
    <row r="31" spans="1:1" x14ac:dyDescent="0.25">
      <c r="A31" s="1"/>
    </row>
    <row r="32" spans="1:1" x14ac:dyDescent="0.25">
      <c r="A32" s="1" t="s">
        <v>195</v>
      </c>
    </row>
    <row r="33" spans="1:1" x14ac:dyDescent="0.25">
      <c r="A33" s="1"/>
    </row>
    <row r="34" spans="1:1" x14ac:dyDescent="0.25">
      <c r="A34" s="1" t="s">
        <v>196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3"/>
  <sheetViews>
    <sheetView showGridLines="0" workbookViewId="0"/>
  </sheetViews>
  <sheetFormatPr defaultRowHeight="15" x14ac:dyDescent="0.25"/>
  <cols>
    <col min="1" max="1" width="15.28515625" bestFit="1" customWidth="1"/>
    <col min="2" max="2" width="15.7109375" bestFit="1" customWidth="1"/>
    <col min="3" max="3" width="8.85546875" bestFit="1" customWidth="1"/>
    <col min="4" max="4" width="26.7109375" bestFit="1" customWidth="1"/>
    <col min="5" max="5" width="19.140625" bestFit="1" customWidth="1"/>
    <col min="6" max="6" width="14.85546875" bestFit="1" customWidth="1"/>
  </cols>
  <sheetData>
    <row r="1" spans="1:5" x14ac:dyDescent="0.25">
      <c r="A1" s="34" t="s">
        <v>198</v>
      </c>
    </row>
    <row r="3" spans="1:5" x14ac:dyDescent="0.25">
      <c r="A3" s="18" t="s">
        <v>1</v>
      </c>
      <c r="B3" s="18" t="s">
        <v>2</v>
      </c>
      <c r="C3" s="18" t="s">
        <v>3</v>
      </c>
      <c r="D3" s="14" t="s">
        <v>14</v>
      </c>
      <c r="E3" s="14" t="s">
        <v>7</v>
      </c>
    </row>
    <row r="4" spans="1:5" x14ac:dyDescent="0.25">
      <c r="A4" s="31" t="s">
        <v>132</v>
      </c>
      <c r="B4" s="31" t="s">
        <v>133</v>
      </c>
      <c r="C4" s="31" t="s">
        <v>118</v>
      </c>
      <c r="D4" s="32">
        <v>23.4</v>
      </c>
      <c r="E4" s="31">
        <v>45.5</v>
      </c>
    </row>
    <row r="5" spans="1:5" x14ac:dyDescent="0.25">
      <c r="A5" s="5" t="s">
        <v>110</v>
      </c>
      <c r="B5" s="5" t="s">
        <v>108</v>
      </c>
      <c r="C5" s="5" t="s">
        <v>95</v>
      </c>
      <c r="D5" s="32">
        <v>24.1</v>
      </c>
      <c r="E5" s="5">
        <v>40.299999999999997</v>
      </c>
    </row>
    <row r="6" spans="1:5" x14ac:dyDescent="0.25">
      <c r="A6" s="31" t="s">
        <v>162</v>
      </c>
      <c r="B6" s="31" t="s">
        <v>133</v>
      </c>
      <c r="C6" s="31" t="s">
        <v>118</v>
      </c>
      <c r="D6" s="33">
        <v>24.1</v>
      </c>
      <c r="E6" s="31">
        <v>51.9</v>
      </c>
    </row>
    <row r="7" spans="1:5" x14ac:dyDescent="0.25">
      <c r="A7" s="5" t="s">
        <v>56</v>
      </c>
      <c r="B7" s="5" t="s">
        <v>28</v>
      </c>
      <c r="C7" s="5" t="s">
        <v>29</v>
      </c>
      <c r="D7" s="32">
        <v>26.6</v>
      </c>
      <c r="E7" s="5">
        <v>40.1</v>
      </c>
    </row>
    <row r="8" spans="1:5" x14ac:dyDescent="0.25">
      <c r="A8" s="31" t="s">
        <v>164</v>
      </c>
      <c r="B8" s="31" t="s">
        <v>108</v>
      </c>
      <c r="C8" s="31" t="s">
        <v>95</v>
      </c>
      <c r="D8" s="32">
        <v>26.7</v>
      </c>
      <c r="E8" s="31">
        <v>56.7</v>
      </c>
    </row>
    <row r="11" spans="1:5" x14ac:dyDescent="0.25">
      <c r="A11" s="34" t="s">
        <v>197</v>
      </c>
    </row>
    <row r="12" spans="1:5" x14ac:dyDescent="0.25">
      <c r="A12" s="24"/>
    </row>
    <row r="13" spans="1:5" x14ac:dyDescent="0.25">
      <c r="A13" s="18" t="s">
        <v>1</v>
      </c>
      <c r="B13" s="18" t="s">
        <v>2</v>
      </c>
      <c r="C13" s="18" t="s">
        <v>3</v>
      </c>
      <c r="D13" s="14" t="s">
        <v>13</v>
      </c>
      <c r="E13" s="14" t="s">
        <v>7</v>
      </c>
    </row>
    <row r="14" spans="1:5" x14ac:dyDescent="0.25">
      <c r="A14" s="31" t="s">
        <v>56</v>
      </c>
      <c r="B14" s="5" t="s">
        <v>28</v>
      </c>
      <c r="C14" s="5" t="s">
        <v>29</v>
      </c>
      <c r="D14" s="32">
        <v>46.9</v>
      </c>
      <c r="E14" s="5">
        <v>40.1</v>
      </c>
    </row>
    <row r="15" spans="1:5" x14ac:dyDescent="0.25">
      <c r="A15" s="5" t="s">
        <v>45</v>
      </c>
      <c r="B15" s="31" t="s">
        <v>28</v>
      </c>
      <c r="C15" s="31" t="s">
        <v>29</v>
      </c>
      <c r="D15" s="33">
        <v>48</v>
      </c>
      <c r="E15" s="31">
        <v>19.5</v>
      </c>
    </row>
    <row r="16" spans="1:5" x14ac:dyDescent="0.25">
      <c r="A16" s="31" t="s">
        <v>151</v>
      </c>
      <c r="B16" s="5" t="s">
        <v>149</v>
      </c>
      <c r="C16" s="5" t="s">
        <v>118</v>
      </c>
      <c r="D16" s="32">
        <v>49.3</v>
      </c>
      <c r="E16" s="5">
        <v>47.7</v>
      </c>
    </row>
    <row r="17" spans="1:5" x14ac:dyDescent="0.25">
      <c r="A17" s="5" t="s">
        <v>50</v>
      </c>
      <c r="B17" s="31" t="s">
        <v>28</v>
      </c>
      <c r="C17" s="31" t="s">
        <v>29</v>
      </c>
      <c r="D17" s="33">
        <v>49.6</v>
      </c>
      <c r="E17" s="31">
        <v>54.2</v>
      </c>
    </row>
    <row r="18" spans="1:5" x14ac:dyDescent="0.25">
      <c r="A18" s="31" t="s">
        <v>153</v>
      </c>
      <c r="B18" s="5" t="s">
        <v>149</v>
      </c>
      <c r="C18" s="5" t="s">
        <v>118</v>
      </c>
      <c r="D18" s="32">
        <v>50.3</v>
      </c>
      <c r="E18" s="5">
        <v>42.6</v>
      </c>
    </row>
    <row r="21" spans="1:5" x14ac:dyDescent="0.25">
      <c r="A21" s="1" t="s">
        <v>199</v>
      </c>
    </row>
    <row r="22" spans="1:5" x14ac:dyDescent="0.25">
      <c r="A22" s="1"/>
    </row>
    <row r="23" spans="1:5" x14ac:dyDescent="0.25">
      <c r="A23" s="1" t="s">
        <v>200</v>
      </c>
    </row>
  </sheetData>
  <sortState xmlns:xlrd2="http://schemas.microsoft.com/office/spreadsheetml/2017/richdata2" ref="A4:E8">
    <sortCondition ref="D4:D8"/>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F26"/>
  <sheetViews>
    <sheetView showGridLines="0" workbookViewId="0"/>
  </sheetViews>
  <sheetFormatPr defaultRowHeight="15" x14ac:dyDescent="0.25"/>
  <cols>
    <col min="1" max="1" width="28.5703125" style="1" customWidth="1"/>
    <col min="2" max="2" width="8.85546875" bestFit="1" customWidth="1"/>
    <col min="3" max="3" width="22.85546875" bestFit="1" customWidth="1"/>
    <col min="4" max="4" width="14.85546875" bestFit="1" customWidth="1"/>
    <col min="5" max="5" width="23.85546875" bestFit="1" customWidth="1"/>
    <col min="6" max="6" width="25.7109375" bestFit="1" customWidth="1"/>
  </cols>
  <sheetData>
    <row r="1" spans="1:6" x14ac:dyDescent="0.25">
      <c r="A1" s="18" t="s">
        <v>1</v>
      </c>
      <c r="B1" s="18" t="s">
        <v>3</v>
      </c>
      <c r="C1" s="18" t="s">
        <v>26</v>
      </c>
      <c r="D1" s="18" t="s">
        <v>7</v>
      </c>
      <c r="E1" s="18" t="s">
        <v>180</v>
      </c>
      <c r="F1" s="18" t="s">
        <v>25</v>
      </c>
    </row>
    <row r="2" spans="1:6" x14ac:dyDescent="0.25">
      <c r="A2" s="31" t="s">
        <v>99</v>
      </c>
      <c r="B2" s="31" t="s">
        <v>95</v>
      </c>
      <c r="C2" s="31">
        <v>35.299999999999997</v>
      </c>
      <c r="D2" s="31">
        <v>44</v>
      </c>
      <c r="E2" s="35">
        <v>40.833333333333336</v>
      </c>
      <c r="F2" s="35">
        <v>102.12</v>
      </c>
    </row>
    <row r="3" spans="1:6" x14ac:dyDescent="0.25">
      <c r="A3" s="5" t="s">
        <v>153</v>
      </c>
      <c r="B3" s="5" t="s">
        <v>118</v>
      </c>
      <c r="C3" s="5">
        <v>35.6</v>
      </c>
      <c r="D3" s="5">
        <v>42.6</v>
      </c>
      <c r="E3" s="17">
        <v>57.666666666666664</v>
      </c>
      <c r="F3" s="17">
        <v>198.13</v>
      </c>
    </row>
    <row r="4" spans="1:6" x14ac:dyDescent="0.25">
      <c r="A4" s="31" t="s">
        <v>142</v>
      </c>
      <c r="B4" s="31" t="s">
        <v>118</v>
      </c>
      <c r="C4" s="31">
        <v>36.799999999999997</v>
      </c>
      <c r="D4" s="31">
        <v>43.1</v>
      </c>
      <c r="E4" s="35">
        <v>57.466666666666669</v>
      </c>
      <c r="F4" s="35">
        <v>189.16</v>
      </c>
    </row>
    <row r="5" spans="1:6" x14ac:dyDescent="0.25">
      <c r="A5" s="5" t="s">
        <v>151</v>
      </c>
      <c r="B5" s="5" t="s">
        <v>118</v>
      </c>
      <c r="C5" s="5">
        <v>37.5</v>
      </c>
      <c r="D5" s="5">
        <v>47.7</v>
      </c>
      <c r="E5" s="17">
        <v>42.06666666666667</v>
      </c>
      <c r="F5" s="17">
        <v>148.11000000000001</v>
      </c>
    </row>
    <row r="6" spans="1:6" x14ac:dyDescent="0.25">
      <c r="A6" s="31" t="s">
        <v>69</v>
      </c>
      <c r="B6" s="31" t="s">
        <v>29</v>
      </c>
      <c r="C6" s="31">
        <v>40.1</v>
      </c>
      <c r="D6" s="31">
        <v>55</v>
      </c>
      <c r="E6" s="35">
        <v>60.666666666666664</v>
      </c>
      <c r="F6" s="35">
        <v>159.61000000000001</v>
      </c>
    </row>
    <row r="10" spans="1:6" x14ac:dyDescent="0.25">
      <c r="A10" s="2" t="s">
        <v>201</v>
      </c>
    </row>
    <row r="11" spans="1:6" x14ac:dyDescent="0.25">
      <c r="A11" s="1" t="s">
        <v>202</v>
      </c>
    </row>
    <row r="12" spans="1:6" x14ac:dyDescent="0.25">
      <c r="A12" s="1" t="s">
        <v>203</v>
      </c>
    </row>
    <row r="14" spans="1:6" x14ac:dyDescent="0.25">
      <c r="A14" s="2" t="s">
        <v>204</v>
      </c>
    </row>
    <row r="15" spans="1:6" x14ac:dyDescent="0.25">
      <c r="A15" s="1" t="s">
        <v>205</v>
      </c>
    </row>
    <row r="16" spans="1:6" x14ac:dyDescent="0.25">
      <c r="A16" s="1" t="s">
        <v>206</v>
      </c>
    </row>
    <row r="18" spans="1:1" x14ac:dyDescent="0.25">
      <c r="A18" s="2" t="s">
        <v>207</v>
      </c>
    </row>
    <row r="19" spans="1:1" x14ac:dyDescent="0.25">
      <c r="A19" s="1" t="s">
        <v>208</v>
      </c>
    </row>
    <row r="21" spans="1:1" x14ac:dyDescent="0.25">
      <c r="A21" s="2" t="s">
        <v>209</v>
      </c>
    </row>
    <row r="22" spans="1:1" x14ac:dyDescent="0.25">
      <c r="A22" s="1" t="s">
        <v>210</v>
      </c>
    </row>
    <row r="24" spans="1:1" x14ac:dyDescent="0.25">
      <c r="A24" s="2" t="s">
        <v>211</v>
      </c>
    </row>
    <row r="25" spans="1:1" x14ac:dyDescent="0.25">
      <c r="A25" s="1" t="s">
        <v>212</v>
      </c>
    </row>
    <row r="26" spans="1:1" x14ac:dyDescent="0.25">
      <c r="A26" s="21"/>
    </row>
  </sheetData>
  <sortState xmlns:xlrd2="http://schemas.microsoft.com/office/spreadsheetml/2017/richdata2" ref="A2:E6">
    <sortCondition ref="C2:C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2:A54"/>
  <sheetViews>
    <sheetView showGridLines="0" workbookViewId="0">
      <selection activeCell="A2" sqref="A2"/>
    </sheetView>
  </sheetViews>
  <sheetFormatPr defaultRowHeight="15" x14ac:dyDescent="0.25"/>
  <cols>
    <col min="1" max="1" width="78.140625" style="38" bestFit="1" customWidth="1"/>
    <col min="2" max="2" width="15.140625" bestFit="1" customWidth="1"/>
    <col min="3" max="3" width="27" bestFit="1" customWidth="1"/>
    <col min="4" max="4" width="12" bestFit="1" customWidth="1"/>
    <col min="5" max="5" width="13.28515625" bestFit="1" customWidth="1"/>
    <col min="6" max="6" width="12.85546875" bestFit="1" customWidth="1"/>
    <col min="7" max="7" width="23.140625" bestFit="1" customWidth="1"/>
  </cols>
  <sheetData>
    <row r="2" spans="1:1" x14ac:dyDescent="0.25">
      <c r="A2" s="37" t="s">
        <v>213</v>
      </c>
    </row>
    <row r="3" spans="1:1" ht="45" x14ac:dyDescent="0.25">
      <c r="A3" s="38" t="s">
        <v>217</v>
      </c>
    </row>
    <row r="5" spans="1:1" ht="22.5" x14ac:dyDescent="0.25">
      <c r="A5" s="38" t="s">
        <v>218</v>
      </c>
    </row>
    <row r="7" spans="1:1" ht="22.5" x14ac:dyDescent="0.25">
      <c r="A7" s="38" t="s">
        <v>219</v>
      </c>
    </row>
    <row r="9" spans="1:1" ht="22.5" x14ac:dyDescent="0.25">
      <c r="A9" s="38" t="s">
        <v>220</v>
      </c>
    </row>
    <row r="11" spans="1:1" x14ac:dyDescent="0.25">
      <c r="A11" s="43" t="s">
        <v>223</v>
      </c>
    </row>
    <row r="12" spans="1:1" ht="16.5" x14ac:dyDescent="0.25">
      <c r="A12" s="42"/>
    </row>
    <row r="35" spans="1:1" x14ac:dyDescent="0.25">
      <c r="A35" s="43" t="s">
        <v>222</v>
      </c>
    </row>
    <row r="36" spans="1:1" ht="16.5" x14ac:dyDescent="0.25">
      <c r="A36" s="12"/>
    </row>
    <row r="54" spans="1:1" x14ac:dyDescent="0.25">
      <c r="A54" s="43" t="s">
        <v>221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34:T50"/>
  <sheetViews>
    <sheetView showGridLines="0" zoomScaleNormal="100" workbookViewId="0"/>
  </sheetViews>
  <sheetFormatPr defaultRowHeight="15" x14ac:dyDescent="0.25"/>
  <cols>
    <col min="6" max="6" width="9.140625" customWidth="1"/>
    <col min="10" max="10" width="9.140625" customWidth="1"/>
  </cols>
  <sheetData>
    <row r="34" spans="1:1" x14ac:dyDescent="0.25">
      <c r="A34" s="27"/>
    </row>
    <row r="50" spans="20:20" x14ac:dyDescent="0.25">
      <c r="T50" t="s">
        <v>237</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1" r:id="rId4" name="List Box 15">
              <controlPr defaultSize="0" autoLine="0" autoPict="0">
                <anchor>
                  <from>
                    <xdr:col>0</xdr:col>
                    <xdr:colOff>85725</xdr:colOff>
                    <xdr:row>34</xdr:row>
                    <xdr:rowOff>47625</xdr:rowOff>
                  </from>
                  <to>
                    <xdr:col>3</xdr:col>
                    <xdr:colOff>409575</xdr:colOff>
                    <xdr:row>38</xdr:row>
                    <xdr:rowOff>104775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110"/>
  <sheetViews>
    <sheetView showGridLines="0" workbookViewId="0"/>
  </sheetViews>
  <sheetFormatPr defaultRowHeight="11.25" x14ac:dyDescent="0.2"/>
  <cols>
    <col min="1" max="1" width="15.7109375" style="1" bestFit="1" customWidth="1"/>
    <col min="2" max="2" width="18.42578125" style="1" bestFit="1" customWidth="1"/>
    <col min="3" max="3" width="15.140625" style="1" bestFit="1" customWidth="1"/>
    <col min="4" max="4" width="19.42578125" style="1" bestFit="1" customWidth="1"/>
    <col min="5" max="5" width="27" style="1" bestFit="1" customWidth="1"/>
    <col min="6" max="6" width="12" style="1" bestFit="1" customWidth="1"/>
    <col min="7" max="7" width="12.5703125" style="1" bestFit="1" customWidth="1"/>
    <col min="8" max="8" width="15.140625" style="1" bestFit="1" customWidth="1"/>
    <col min="9" max="9" width="15.7109375" style="1" bestFit="1" customWidth="1"/>
    <col min="10" max="16384" width="9.140625" style="1"/>
  </cols>
  <sheetData>
    <row r="1" spans="1:9" x14ac:dyDescent="0.2">
      <c r="I1" s="1" t="s">
        <v>230</v>
      </c>
    </row>
    <row r="2" spans="1:9" x14ac:dyDescent="0.2">
      <c r="I2" s="1" t="s">
        <v>215</v>
      </c>
    </row>
    <row r="3" spans="1:9" x14ac:dyDescent="0.2">
      <c r="I3" s="1" t="s">
        <v>231</v>
      </c>
    </row>
    <row r="4" spans="1:9" x14ac:dyDescent="0.2">
      <c r="I4" s="1" t="s">
        <v>214</v>
      </c>
    </row>
    <row r="5" spans="1:9" x14ac:dyDescent="0.2">
      <c r="I5" s="1" t="s">
        <v>216</v>
      </c>
    </row>
    <row r="6" spans="1:9" x14ac:dyDescent="0.2">
      <c r="A6" s="47" t="s">
        <v>232</v>
      </c>
      <c r="B6" s="47" t="s">
        <v>233</v>
      </c>
      <c r="C6" s="47" t="s">
        <v>234</v>
      </c>
      <c r="D6" s="47" t="s">
        <v>235</v>
      </c>
      <c r="E6" s="47" t="s">
        <v>216</v>
      </c>
      <c r="F6" s="47" t="s">
        <v>224</v>
      </c>
      <c r="I6" s="1" t="s">
        <v>224</v>
      </c>
    </row>
    <row r="7" spans="1:9" x14ac:dyDescent="0.2">
      <c r="A7" s="1" t="s">
        <v>230</v>
      </c>
      <c r="B7" s="1" t="s">
        <v>215</v>
      </c>
      <c r="C7" s="1" t="s">
        <v>231</v>
      </c>
      <c r="D7" s="1" t="s">
        <v>214</v>
      </c>
      <c r="E7" s="1" t="s">
        <v>216</v>
      </c>
      <c r="F7" s="1" t="s">
        <v>224</v>
      </c>
    </row>
    <row r="8" spans="1:9" x14ac:dyDescent="0.2">
      <c r="A8" s="39">
        <v>78.225423728813595</v>
      </c>
      <c r="B8" s="39">
        <v>38.662711864406774</v>
      </c>
      <c r="C8" s="39">
        <v>71.762711864406796</v>
      </c>
      <c r="D8" s="39">
        <v>52.254237288135585</v>
      </c>
      <c r="E8" s="39">
        <v>57.833898305084745</v>
      </c>
      <c r="F8" s="39">
        <v>68.694915254237301</v>
      </c>
    </row>
    <row r="9" spans="1:9" x14ac:dyDescent="0.2">
      <c r="A9" s="46">
        <f>A8/100</f>
        <v>0.78225423728813592</v>
      </c>
      <c r="B9" s="46">
        <f t="shared" ref="B9:F9" si="0">B8/100</f>
        <v>0.38662711864406774</v>
      </c>
      <c r="C9" s="46">
        <f t="shared" si="0"/>
        <v>0.71762711864406792</v>
      </c>
      <c r="D9" s="46">
        <f t="shared" si="0"/>
        <v>0.52254237288135585</v>
      </c>
      <c r="E9" s="46">
        <f t="shared" si="0"/>
        <v>0.57833898305084741</v>
      </c>
      <c r="F9" s="46">
        <f t="shared" si="0"/>
        <v>0.68694915254237299</v>
      </c>
    </row>
    <row r="14" spans="1:9" x14ac:dyDescent="0.2">
      <c r="G14" s="47">
        <f>COUNTA(B17:B27)</f>
        <v>10</v>
      </c>
      <c r="H14" s="1">
        <v>7</v>
      </c>
    </row>
    <row r="15" spans="1:9" x14ac:dyDescent="0.2">
      <c r="F15" s="45" t="s">
        <v>225</v>
      </c>
      <c r="G15" s="45" t="s">
        <v>226</v>
      </c>
      <c r="H15" s="45" t="s">
        <v>227</v>
      </c>
    </row>
    <row r="16" spans="1:9" x14ac:dyDescent="0.2">
      <c r="A16" s="22" t="s">
        <v>2</v>
      </c>
      <c r="B16" s="3" t="s">
        <v>224</v>
      </c>
      <c r="C16" s="44" t="s">
        <v>224</v>
      </c>
      <c r="D16" s="44" t="s">
        <v>224</v>
      </c>
      <c r="F16" s="45">
        <v>1</v>
      </c>
      <c r="G16" s="48">
        <f>IF(COUNTA($B$17:$B$27)&lt;=7," ",SMALL($B$16:$B$26,F16))</f>
        <v>53</v>
      </c>
      <c r="H16" s="48">
        <f>IF(COUNTA($B$17:$B$27)&lt;=$H$14," ",LARGE($B$16:$B$26,F16))</f>
        <v>83.44</v>
      </c>
    </row>
    <row r="17" spans="1:8" x14ac:dyDescent="0.2">
      <c r="A17" s="1" t="s">
        <v>149</v>
      </c>
      <c r="B17" s="39">
        <v>53</v>
      </c>
      <c r="C17" s="39">
        <f>IFERROR(VLOOKUP(B17,$G$16:$G$20,1,0),"")</f>
        <v>53</v>
      </c>
      <c r="D17" s="39" t="str">
        <f>IFERROR(VLOOKUP(B17,$H$16:$H$20,1,0),"")</f>
        <v/>
      </c>
      <c r="F17" s="45">
        <v>2</v>
      </c>
      <c r="G17" s="48">
        <f t="shared" ref="G17:G20" si="1">IF(COUNTA($B$17:$B$27)&lt;=7," ",SMALL($B$16:$B$26,F17))</f>
        <v>58.875</v>
      </c>
      <c r="H17" s="48">
        <f t="shared" ref="H17:H20" si="2">IF(COUNTA($B$17:$B$27)&lt;=$H$14," ",LARGE($B$16:$B$26,F17))</f>
        <v>72.428571428571431</v>
      </c>
    </row>
    <row r="18" spans="1:8" x14ac:dyDescent="0.2">
      <c r="A18" s="1" t="s">
        <v>140</v>
      </c>
      <c r="B18" s="39">
        <v>58.875</v>
      </c>
      <c r="C18" s="39">
        <f t="shared" ref="C18:C26" si="3">IFERROR(VLOOKUP(B18,$G$16:$G$20,1,0),"")</f>
        <v>58.875</v>
      </c>
      <c r="D18" s="39" t="str">
        <f t="shared" ref="D18:D26" si="4">IFERROR(VLOOKUP(B18,$H$16:$H$20,1,0),"")</f>
        <v/>
      </c>
      <c r="F18" s="45">
        <v>3</v>
      </c>
      <c r="G18" s="48">
        <f t="shared" si="1"/>
        <v>61.316666666666663</v>
      </c>
      <c r="H18" s="48">
        <f t="shared" si="2"/>
        <v>72.175000000000011</v>
      </c>
    </row>
    <row r="19" spans="1:8" x14ac:dyDescent="0.2">
      <c r="A19" s="1" t="s">
        <v>94</v>
      </c>
      <c r="B19" s="39">
        <v>61.316666666666663</v>
      </c>
      <c r="C19" s="39">
        <f t="shared" si="3"/>
        <v>61.316666666666663</v>
      </c>
      <c r="D19" s="39" t="str">
        <f t="shared" si="4"/>
        <v/>
      </c>
      <c r="F19" s="45">
        <v>4</v>
      </c>
      <c r="G19" s="48">
        <f t="shared" si="1"/>
        <v>62.640000000000008</v>
      </c>
      <c r="H19" s="48">
        <f t="shared" si="2"/>
        <v>72.123529411764707</v>
      </c>
    </row>
    <row r="20" spans="1:8" x14ac:dyDescent="0.2">
      <c r="A20" s="1" t="s">
        <v>108</v>
      </c>
      <c r="B20" s="39">
        <v>62.640000000000008</v>
      </c>
      <c r="C20" s="39">
        <f t="shared" si="3"/>
        <v>62.640000000000008</v>
      </c>
      <c r="D20" s="39" t="str">
        <f t="shared" si="4"/>
        <v/>
      </c>
      <c r="F20" s="45">
        <v>5</v>
      </c>
      <c r="G20" s="48">
        <f t="shared" si="1"/>
        <v>66.02</v>
      </c>
      <c r="H20" s="48">
        <f t="shared" si="2"/>
        <v>69.433333333333337</v>
      </c>
    </row>
    <row r="21" spans="1:8" x14ac:dyDescent="0.2">
      <c r="A21" s="1" t="s">
        <v>83</v>
      </c>
      <c r="B21" s="39">
        <v>66.02</v>
      </c>
      <c r="C21" s="39">
        <f t="shared" si="3"/>
        <v>66.02</v>
      </c>
      <c r="D21" s="39" t="str">
        <f t="shared" si="4"/>
        <v/>
      </c>
    </row>
    <row r="22" spans="1:8" x14ac:dyDescent="0.2">
      <c r="A22" s="1" t="s">
        <v>156</v>
      </c>
      <c r="B22" s="39">
        <v>69.433333333333337</v>
      </c>
      <c r="C22" s="39" t="str">
        <f t="shared" si="3"/>
        <v/>
      </c>
      <c r="D22" s="39">
        <f t="shared" si="4"/>
        <v>69.433333333333337</v>
      </c>
      <c r="F22" s="1" t="str">
        <f>IF($G$14&lt;=$H$14," ","Highlighted are bottom 5")</f>
        <v>Highlighted are bottom 5</v>
      </c>
    </row>
    <row r="23" spans="1:8" x14ac:dyDescent="0.2">
      <c r="A23" s="1" t="s">
        <v>28</v>
      </c>
      <c r="B23" s="39">
        <v>72.123529411764707</v>
      </c>
      <c r="C23" s="39" t="str">
        <f t="shared" si="3"/>
        <v/>
      </c>
      <c r="D23" s="39">
        <f t="shared" si="4"/>
        <v>72.123529411764707</v>
      </c>
    </row>
    <row r="24" spans="1:8" x14ac:dyDescent="0.2">
      <c r="A24" s="1" t="s">
        <v>133</v>
      </c>
      <c r="B24" s="39">
        <v>72.175000000000011</v>
      </c>
      <c r="C24" s="39" t="str">
        <f t="shared" si="3"/>
        <v/>
      </c>
      <c r="D24" s="39">
        <f t="shared" si="4"/>
        <v>72.175000000000011</v>
      </c>
    </row>
    <row r="25" spans="1:8" x14ac:dyDescent="0.2">
      <c r="A25" s="1" t="s">
        <v>117</v>
      </c>
      <c r="B25" s="39">
        <v>72.428571428571431</v>
      </c>
      <c r="C25" s="39" t="str">
        <f t="shared" si="3"/>
        <v/>
      </c>
      <c r="D25" s="39">
        <f t="shared" si="4"/>
        <v>72.428571428571431</v>
      </c>
    </row>
    <row r="26" spans="1:8" x14ac:dyDescent="0.2">
      <c r="A26" s="1" t="s">
        <v>72</v>
      </c>
      <c r="B26" s="39">
        <v>83.44</v>
      </c>
      <c r="C26" s="39" t="str">
        <f t="shared" si="3"/>
        <v/>
      </c>
      <c r="D26" s="39">
        <f t="shared" si="4"/>
        <v>83.44</v>
      </c>
    </row>
    <row r="27" spans="1:8" x14ac:dyDescent="0.2">
      <c r="B27" s="39"/>
      <c r="C27" s="39"/>
      <c r="D27" s="39"/>
    </row>
    <row r="28" spans="1:8" x14ac:dyDescent="0.2">
      <c r="B28" s="39"/>
      <c r="C28" s="39"/>
      <c r="D28" s="39"/>
    </row>
    <row r="30" spans="1:8" x14ac:dyDescent="0.2">
      <c r="A30" s="41" t="s">
        <v>2</v>
      </c>
      <c r="B30" s="41" t="s">
        <v>224</v>
      </c>
      <c r="C30" s="41" t="s">
        <v>229</v>
      </c>
      <c r="D30" s="41" t="s">
        <v>228</v>
      </c>
    </row>
    <row r="31" spans="1:8" x14ac:dyDescent="0.2">
      <c r="A31" s="40" t="str">
        <f>A17</f>
        <v>South West Garo Hills</v>
      </c>
      <c r="B31" s="17">
        <f>IFERROR(VLOOKUP(A31,$A$16:$B$26,2,0)," ")</f>
        <v>53</v>
      </c>
      <c r="C31" s="17">
        <f>IFERROR(VLOOKUP(A31,$A$16:$C$26,3,0), " ")</f>
        <v>53</v>
      </c>
      <c r="D31" s="17" t="str">
        <f>IFERROR(VLOOKUP(A31,$A$16:$D$26,4,0)," ")</f>
        <v/>
      </c>
    </row>
    <row r="32" spans="1:8" x14ac:dyDescent="0.2">
      <c r="A32" s="40" t="str">
        <f t="shared" ref="A32:A40" si="5">A18</f>
        <v>East Garo Hills</v>
      </c>
      <c r="B32" s="17">
        <f t="shared" ref="B32:B40" si="6">IFERROR(VLOOKUP(A32,$A$16:$B$26,2,0)," ")</f>
        <v>58.875</v>
      </c>
      <c r="C32" s="17">
        <f t="shared" ref="C32:C40" si="7">IFERROR(VLOOKUP(A32,$A$16:$C$26,3,0), " ")</f>
        <v>58.875</v>
      </c>
      <c r="D32" s="17" t="str">
        <f t="shared" ref="D32:D40" si="8">IFERROR(VLOOKUP(A32,$A$16:$D$26,4,0)," ")</f>
        <v/>
      </c>
    </row>
    <row r="33" spans="1:7" x14ac:dyDescent="0.2">
      <c r="A33" s="40" t="str">
        <f t="shared" si="5"/>
        <v>West Jaintia Hills</v>
      </c>
      <c r="B33" s="17">
        <f t="shared" si="6"/>
        <v>61.316666666666663</v>
      </c>
      <c r="C33" s="17">
        <f t="shared" si="7"/>
        <v>61.316666666666663</v>
      </c>
      <c r="D33" s="17" t="str">
        <f t="shared" si="8"/>
        <v/>
      </c>
    </row>
    <row r="34" spans="1:7" x14ac:dyDescent="0.2">
      <c r="A34" s="40" t="str">
        <f t="shared" si="5"/>
        <v>East Jaintia Hills</v>
      </c>
      <c r="B34" s="17">
        <f t="shared" si="6"/>
        <v>62.640000000000008</v>
      </c>
      <c r="C34" s="17">
        <f t="shared" si="7"/>
        <v>62.640000000000008</v>
      </c>
      <c r="D34" s="17" t="str">
        <f t="shared" si="8"/>
        <v/>
      </c>
    </row>
    <row r="35" spans="1:7" x14ac:dyDescent="0.2">
      <c r="A35" s="40" t="str">
        <f t="shared" si="5"/>
        <v>Ri Bhoi</v>
      </c>
      <c r="B35" s="17">
        <f t="shared" si="6"/>
        <v>66.02</v>
      </c>
      <c r="C35" s="17">
        <f t="shared" si="7"/>
        <v>66.02</v>
      </c>
      <c r="D35" s="17" t="str">
        <f t="shared" si="8"/>
        <v/>
      </c>
    </row>
    <row r="36" spans="1:7" x14ac:dyDescent="0.2">
      <c r="A36" s="40" t="str">
        <f t="shared" si="5"/>
        <v>South Garo Hills</v>
      </c>
      <c r="B36" s="17">
        <f t="shared" si="6"/>
        <v>69.433333333333337</v>
      </c>
      <c r="C36" s="17" t="str">
        <f t="shared" si="7"/>
        <v/>
      </c>
      <c r="D36" s="17">
        <f t="shared" si="8"/>
        <v>69.433333333333337</v>
      </c>
    </row>
    <row r="37" spans="1:7" x14ac:dyDescent="0.2">
      <c r="A37" s="40" t="str">
        <f t="shared" si="5"/>
        <v>East Khasi Hills</v>
      </c>
      <c r="B37" s="17">
        <f t="shared" si="6"/>
        <v>72.123529411764707</v>
      </c>
      <c r="C37" s="17" t="str">
        <f t="shared" si="7"/>
        <v/>
      </c>
      <c r="D37" s="17">
        <f t="shared" si="8"/>
        <v>72.123529411764707</v>
      </c>
    </row>
    <row r="38" spans="1:7" x14ac:dyDescent="0.2">
      <c r="A38" s="40" t="str">
        <f t="shared" si="5"/>
        <v>North Garo Hills</v>
      </c>
      <c r="B38" s="17">
        <f t="shared" si="6"/>
        <v>72.175000000000011</v>
      </c>
      <c r="C38" s="17" t="str">
        <f t="shared" si="7"/>
        <v/>
      </c>
      <c r="D38" s="17">
        <f t="shared" si="8"/>
        <v>72.175000000000011</v>
      </c>
    </row>
    <row r="39" spans="1:7" x14ac:dyDescent="0.2">
      <c r="A39" s="40" t="str">
        <f t="shared" si="5"/>
        <v>West Garo Hills</v>
      </c>
      <c r="B39" s="17">
        <f t="shared" si="6"/>
        <v>72.428571428571431</v>
      </c>
      <c r="C39" s="17" t="str">
        <f t="shared" si="7"/>
        <v/>
      </c>
      <c r="D39" s="17">
        <f t="shared" si="8"/>
        <v>72.428571428571431</v>
      </c>
    </row>
    <row r="40" spans="1:7" x14ac:dyDescent="0.2">
      <c r="A40" s="40" t="str">
        <f t="shared" si="5"/>
        <v>West Khasi Hills</v>
      </c>
      <c r="B40" s="17">
        <f t="shared" si="6"/>
        <v>83.44</v>
      </c>
      <c r="C40" s="17" t="str">
        <f t="shared" si="7"/>
        <v/>
      </c>
      <c r="D40" s="17">
        <f t="shared" si="8"/>
        <v>83.44</v>
      </c>
    </row>
    <row r="44" spans="1:7" x14ac:dyDescent="0.2">
      <c r="A44" s="22" t="s">
        <v>2</v>
      </c>
      <c r="B44" s="1" t="s">
        <v>230</v>
      </c>
      <c r="C44" s="1" t="s">
        <v>215</v>
      </c>
      <c r="D44" s="1" t="s">
        <v>231</v>
      </c>
      <c r="E44" s="1" t="s">
        <v>214</v>
      </c>
      <c r="F44" s="1" t="s">
        <v>216</v>
      </c>
      <c r="G44" s="1" t="s">
        <v>224</v>
      </c>
    </row>
    <row r="45" spans="1:7" x14ac:dyDescent="0.2">
      <c r="A45" s="1" t="s">
        <v>140</v>
      </c>
      <c r="B45" s="39">
        <v>85.924999999999997</v>
      </c>
      <c r="C45" s="39">
        <v>36.975000000000001</v>
      </c>
      <c r="D45" s="39">
        <v>76.05</v>
      </c>
      <c r="E45" s="39">
        <v>34.075000000000003</v>
      </c>
      <c r="F45" s="39">
        <v>59.95</v>
      </c>
      <c r="G45" s="39">
        <v>58.875</v>
      </c>
    </row>
    <row r="46" spans="1:7" x14ac:dyDescent="0.2">
      <c r="A46" s="1" t="s">
        <v>108</v>
      </c>
      <c r="B46" s="39">
        <v>78.3</v>
      </c>
      <c r="C46" s="39">
        <v>47.280000000000008</v>
      </c>
      <c r="D46" s="39">
        <v>83.08</v>
      </c>
      <c r="E46" s="39">
        <v>42.179999999999993</v>
      </c>
      <c r="F46" s="39">
        <v>43.9</v>
      </c>
      <c r="G46" s="39">
        <v>62.640000000000008</v>
      </c>
    </row>
    <row r="47" spans="1:7" x14ac:dyDescent="0.2">
      <c r="A47" s="1" t="s">
        <v>28</v>
      </c>
      <c r="B47" s="39">
        <v>73.770588235294127</v>
      </c>
      <c r="C47" s="39">
        <v>33.505882352941178</v>
      </c>
      <c r="D47" s="39">
        <v>68.517647058823528</v>
      </c>
      <c r="E47" s="39">
        <v>65.764705882352956</v>
      </c>
      <c r="F47" s="39">
        <v>66.376470588235293</v>
      </c>
      <c r="G47" s="39">
        <v>72.123529411764707</v>
      </c>
    </row>
    <row r="48" spans="1:7" x14ac:dyDescent="0.2">
      <c r="A48" s="1" t="s">
        <v>133</v>
      </c>
      <c r="B48" s="39">
        <v>78.875</v>
      </c>
      <c r="C48" s="39">
        <v>41.725000000000001</v>
      </c>
      <c r="D48" s="39">
        <v>69.2</v>
      </c>
      <c r="E48" s="39">
        <v>32.375</v>
      </c>
      <c r="F48" s="39">
        <v>54.1</v>
      </c>
      <c r="G48" s="39">
        <v>72.175000000000011</v>
      </c>
    </row>
    <row r="49" spans="1:10" x14ac:dyDescent="0.2">
      <c r="A49" s="1" t="s">
        <v>83</v>
      </c>
      <c r="B49" s="39">
        <v>83.960000000000008</v>
      </c>
      <c r="C49" s="39">
        <v>44.519999999999996</v>
      </c>
      <c r="D49" s="39">
        <v>76.260000000000005</v>
      </c>
      <c r="E49" s="39">
        <v>57.779999999999994</v>
      </c>
      <c r="F49" s="39">
        <v>66.960000000000008</v>
      </c>
      <c r="G49" s="39">
        <v>66.02</v>
      </c>
    </row>
    <row r="50" spans="1:10" x14ac:dyDescent="0.2">
      <c r="A50" s="1" t="s">
        <v>156</v>
      </c>
      <c r="B50" s="39">
        <v>78.899999999999991</v>
      </c>
      <c r="C50" s="39">
        <v>40.833333333333336</v>
      </c>
      <c r="D50" s="39">
        <v>78.899999999999991</v>
      </c>
      <c r="E50" s="39">
        <v>51.233333333333327</v>
      </c>
      <c r="F50" s="39">
        <v>52.866666666666667</v>
      </c>
      <c r="G50" s="39">
        <v>69.433333333333337</v>
      </c>
    </row>
    <row r="51" spans="1:10" x14ac:dyDescent="0.2">
      <c r="A51" s="1" t="s">
        <v>149</v>
      </c>
      <c r="B51" s="39">
        <v>80.899999999999991</v>
      </c>
      <c r="C51" s="39">
        <v>40.966666666666669</v>
      </c>
      <c r="D51" s="39">
        <v>56.9</v>
      </c>
      <c r="E51" s="39">
        <v>42.06666666666667</v>
      </c>
      <c r="F51" s="39">
        <v>47.966666666666669</v>
      </c>
      <c r="G51" s="39">
        <v>53</v>
      </c>
    </row>
    <row r="52" spans="1:10" x14ac:dyDescent="0.2">
      <c r="A52" s="1" t="s">
        <v>117</v>
      </c>
      <c r="B52" s="39">
        <v>77.557142857142864</v>
      </c>
      <c r="C52" s="39">
        <v>34.928571428571431</v>
      </c>
      <c r="D52" s="39">
        <v>71.928571428571431</v>
      </c>
      <c r="E52" s="39">
        <v>52.114285714285721</v>
      </c>
      <c r="F52" s="39">
        <v>60.2</v>
      </c>
      <c r="G52" s="39">
        <v>72.428571428571431</v>
      </c>
    </row>
    <row r="53" spans="1:10" x14ac:dyDescent="0.2">
      <c r="A53" s="1" t="s">
        <v>94</v>
      </c>
      <c r="B53" s="39">
        <v>77.533333333333317</v>
      </c>
      <c r="C53" s="39">
        <v>37.716666666666661</v>
      </c>
      <c r="D53" s="39">
        <v>72.516666666666652</v>
      </c>
      <c r="E53" s="39">
        <v>50.766666666666659</v>
      </c>
      <c r="F53" s="39">
        <v>54.949999999999996</v>
      </c>
      <c r="G53" s="39">
        <v>61.316666666666663</v>
      </c>
    </row>
    <row r="54" spans="1:10" x14ac:dyDescent="0.2">
      <c r="A54" s="1" t="s">
        <v>72</v>
      </c>
      <c r="B54" s="39">
        <v>80.639999999999986</v>
      </c>
      <c r="C54" s="39">
        <v>44.3</v>
      </c>
      <c r="D54" s="39">
        <v>69.099999999999994</v>
      </c>
      <c r="E54" s="39">
        <v>50.019999999999996</v>
      </c>
      <c r="F54" s="39">
        <v>43.940000000000005</v>
      </c>
      <c r="G54" s="39">
        <v>83.44</v>
      </c>
    </row>
    <row r="55" spans="1:10" x14ac:dyDescent="0.2">
      <c r="A55" s="1" t="s">
        <v>186</v>
      </c>
      <c r="B55" s="39">
        <v>78.225423728813595</v>
      </c>
      <c r="C55" s="39">
        <v>38.662711864406781</v>
      </c>
      <c r="D55" s="39">
        <v>71.762711864406796</v>
      </c>
      <c r="E55" s="39">
        <v>52.254237288135592</v>
      </c>
      <c r="F55" s="39">
        <v>57.833898305084752</v>
      </c>
      <c r="G55" s="39">
        <v>68.694915254237301</v>
      </c>
    </row>
    <row r="58" spans="1:10" x14ac:dyDescent="0.2">
      <c r="A58" s="50" t="s">
        <v>236</v>
      </c>
    </row>
    <row r="59" spans="1:10" x14ac:dyDescent="0.2">
      <c r="A59" s="27">
        <v>2</v>
      </c>
    </row>
    <row r="61" spans="1:10" x14ac:dyDescent="0.2">
      <c r="A61" s="49" t="s">
        <v>2</v>
      </c>
      <c r="B61" s="49" t="str">
        <f>IF($A$59=1,B44,IF(A59=2,C44,IF(A59=3,D44,IF(A59=4,E44,IF(A59=5,F44,IF(A59=6,G44))))))</f>
        <v xml:space="preserve">BPL_Households_Pct </v>
      </c>
      <c r="C61" s="51" t="s">
        <v>229</v>
      </c>
      <c r="J61" s="1" t="s">
        <v>140</v>
      </c>
    </row>
    <row r="62" spans="1:10" x14ac:dyDescent="0.2">
      <c r="A62" s="1" t="s">
        <v>140</v>
      </c>
      <c r="B62" s="39">
        <f>IFERROR(IF($A$59=1,VLOOKUP(A62,$A$44:$B$55,2,0),IF($A$59=2,VLOOKUP(A62,$A$44:$C$55,3,0),IF($A$59=3,VLOOKUP(A62,$A$44:$D$55,4,0),IF($A$59=4,VLOOKUP(A62,$A$44:$E$55,5,0),IF($A$59=5,VLOOKUP(A62,$A$44:$F$55,6,0),IF($A$59=6,VLOOKUP(A62,$A$44:$G$55,7,0))))))),"")</f>
        <v>36.975000000000001</v>
      </c>
      <c r="C62" s="39">
        <f>IFERROR(VLOOKUP(B62,$F$64:$F$68,1,0),"")</f>
        <v>36.975000000000001</v>
      </c>
      <c r="D62" s="1">
        <v>1</v>
      </c>
      <c r="F62" s="47">
        <f>COUNT(B62:B72)</f>
        <v>10</v>
      </c>
      <c r="G62" s="1">
        <v>7</v>
      </c>
      <c r="J62" s="1" t="s">
        <v>108</v>
      </c>
    </row>
    <row r="63" spans="1:10" x14ac:dyDescent="0.2">
      <c r="A63" s="1" t="s">
        <v>108</v>
      </c>
      <c r="B63" s="39">
        <f t="shared" ref="B63:B71" si="9">IFERROR(IF($A$59=1,VLOOKUP(A63,$A$44:$B$55,2,0),IF($A$59=2,VLOOKUP(A63,$A$44:$C$55,3,0),IF($A$59=3,VLOOKUP(A63,$A$44:$D$55,4,0),IF($A$59=4,VLOOKUP(A63,$A$44:$E$55,5,0),IF($A$59=5,VLOOKUP(A63,$A$44:$F$55,6,0),IF($A$59=6,VLOOKUP(A63,$A$44:$G$55,7,0))))))),"")</f>
        <v>47.280000000000008</v>
      </c>
      <c r="C63" s="39" t="str">
        <f t="shared" ref="C63:C71" si="10">IFERROR(VLOOKUP(B63,$F$64:$F$68,1,0),"")</f>
        <v/>
      </c>
      <c r="D63" s="1">
        <v>2</v>
      </c>
      <c r="E63" s="45" t="s">
        <v>225</v>
      </c>
      <c r="F63" s="45" t="s">
        <v>226</v>
      </c>
      <c r="G63" s="45" t="s">
        <v>227</v>
      </c>
      <c r="J63" s="1" t="s">
        <v>28</v>
      </c>
    </row>
    <row r="64" spans="1:10" x14ac:dyDescent="0.2">
      <c r="A64" s="1" t="s">
        <v>28</v>
      </c>
      <c r="B64" s="39">
        <f t="shared" si="9"/>
        <v>33.505882352941178</v>
      </c>
      <c r="C64" s="39">
        <f t="shared" si="10"/>
        <v>33.505882352941178</v>
      </c>
      <c r="D64" s="1">
        <v>3</v>
      </c>
      <c r="E64" s="45">
        <v>1</v>
      </c>
      <c r="F64" s="48">
        <f>IF(COUNT($B$17:$B$27)&lt;=7," ",SMALL($B$62:$B$71,E64))</f>
        <v>33.505882352941178</v>
      </c>
      <c r="G64" s="48">
        <f>IF(COUNTA($B$17:$B$27)&lt;=$H$14," ",LARGE($B$16:$B$26,E64))</f>
        <v>83.44</v>
      </c>
      <c r="J64" s="1" t="s">
        <v>133</v>
      </c>
    </row>
    <row r="65" spans="1:10" x14ac:dyDescent="0.2">
      <c r="A65" s="1" t="s">
        <v>133</v>
      </c>
      <c r="B65" s="39">
        <f t="shared" si="9"/>
        <v>41.725000000000001</v>
      </c>
      <c r="C65" s="39" t="str">
        <f t="shared" si="10"/>
        <v/>
      </c>
      <c r="D65" s="1">
        <v>4</v>
      </c>
      <c r="E65" s="45">
        <v>2</v>
      </c>
      <c r="F65" s="48">
        <f>IF(COUNT($B$17:$B$27)&lt;=7," ",SMALL($B$62:$B$71,E65))</f>
        <v>34.928571428571431</v>
      </c>
      <c r="G65" s="48">
        <f t="shared" ref="G65:G68" si="11">IF(COUNTA($B$17:$B$27)&lt;=$H$14," ",LARGE($B$16:$B$26,E65))</f>
        <v>72.428571428571431</v>
      </c>
      <c r="J65" s="1" t="s">
        <v>83</v>
      </c>
    </row>
    <row r="66" spans="1:10" x14ac:dyDescent="0.2">
      <c r="A66" s="1" t="s">
        <v>83</v>
      </c>
      <c r="B66" s="39">
        <f t="shared" si="9"/>
        <v>44.519999999999996</v>
      </c>
      <c r="C66" s="39" t="str">
        <f t="shared" si="10"/>
        <v/>
      </c>
      <c r="D66" s="1">
        <v>5</v>
      </c>
      <c r="E66" s="45">
        <v>3</v>
      </c>
      <c r="F66" s="48">
        <f>IF(COUNT($B$17:$B$27)&lt;=7," ",SMALL($B$62:$B$71,E66))</f>
        <v>36.975000000000001</v>
      </c>
      <c r="G66" s="48">
        <f t="shared" si="11"/>
        <v>72.175000000000011</v>
      </c>
      <c r="J66" s="1" t="s">
        <v>156</v>
      </c>
    </row>
    <row r="67" spans="1:10" x14ac:dyDescent="0.2">
      <c r="A67" s="1" t="s">
        <v>156</v>
      </c>
      <c r="B67" s="39">
        <f t="shared" si="9"/>
        <v>40.833333333333336</v>
      </c>
      <c r="C67" s="39">
        <f t="shared" si="10"/>
        <v>40.833333333333336</v>
      </c>
      <c r="E67" s="45">
        <v>4</v>
      </c>
      <c r="F67" s="48">
        <f>IF(COUNT($B$17:$B$27)&lt;=7," ",SMALL($B$62:$B$71,E67))</f>
        <v>37.716666666666661</v>
      </c>
      <c r="G67" s="48">
        <f t="shared" si="11"/>
        <v>72.123529411764707</v>
      </c>
      <c r="J67" s="1" t="s">
        <v>149</v>
      </c>
    </row>
    <row r="68" spans="1:10" x14ac:dyDescent="0.2">
      <c r="A68" s="1" t="s">
        <v>149</v>
      </c>
      <c r="B68" s="39">
        <f t="shared" si="9"/>
        <v>40.966666666666669</v>
      </c>
      <c r="C68" s="39" t="str">
        <f t="shared" si="10"/>
        <v/>
      </c>
      <c r="E68" s="45">
        <v>5</v>
      </c>
      <c r="F68" s="48">
        <f>IF(COUNT($B$17:$B$27)&lt;=7," ",SMALL($B$62:$B$71,E68))</f>
        <v>40.833333333333336</v>
      </c>
      <c r="G68" s="48">
        <f t="shared" si="11"/>
        <v>69.433333333333337</v>
      </c>
      <c r="J68" s="1" t="s">
        <v>117</v>
      </c>
    </row>
    <row r="69" spans="1:10" x14ac:dyDescent="0.2">
      <c r="A69" s="1" t="s">
        <v>117</v>
      </c>
      <c r="B69" s="39">
        <f t="shared" si="9"/>
        <v>34.928571428571431</v>
      </c>
      <c r="C69" s="39">
        <f t="shared" si="10"/>
        <v>34.928571428571431</v>
      </c>
      <c r="J69" s="1" t="s">
        <v>94</v>
      </c>
    </row>
    <row r="70" spans="1:10" x14ac:dyDescent="0.2">
      <c r="A70" s="1" t="s">
        <v>94</v>
      </c>
      <c r="B70" s="39">
        <f t="shared" si="9"/>
        <v>37.716666666666661</v>
      </c>
      <c r="C70" s="39">
        <f t="shared" si="10"/>
        <v>37.716666666666661</v>
      </c>
      <c r="E70" s="1" t="str">
        <f>IF($F$62&lt;=$G$62," ","Highlighted are bottom 5")</f>
        <v>Highlighted are bottom 5</v>
      </c>
      <c r="J70" s="1" t="s">
        <v>72</v>
      </c>
    </row>
    <row r="71" spans="1:10" x14ac:dyDescent="0.2">
      <c r="A71" s="1" t="s">
        <v>72</v>
      </c>
      <c r="B71" s="39">
        <f t="shared" si="9"/>
        <v>44.3</v>
      </c>
      <c r="C71" s="39" t="str">
        <f t="shared" si="10"/>
        <v/>
      </c>
      <c r="J71" s="1" t="s">
        <v>186</v>
      </c>
    </row>
    <row r="76" spans="1:10" x14ac:dyDescent="0.2">
      <c r="A76" s="22" t="s">
        <v>3</v>
      </c>
      <c r="B76" s="1" t="s">
        <v>230</v>
      </c>
      <c r="C76" s="1" t="s">
        <v>215</v>
      </c>
      <c r="D76" s="1" t="s">
        <v>231</v>
      </c>
      <c r="E76" s="1" t="s">
        <v>214</v>
      </c>
      <c r="F76" s="1" t="s">
        <v>216</v>
      </c>
      <c r="G76" s="1" t="s">
        <v>224</v>
      </c>
    </row>
    <row r="77" spans="1:10" x14ac:dyDescent="0.2">
      <c r="A77" s="1" t="s">
        <v>118</v>
      </c>
      <c r="B77" s="39">
        <v>80.071428571428555</v>
      </c>
      <c r="C77" s="39">
        <v>38.319047619047616</v>
      </c>
      <c r="D77" s="39">
        <v>71.042857142857144</v>
      </c>
      <c r="E77" s="39">
        <v>43.357142857142861</v>
      </c>
      <c r="F77" s="39">
        <v>56.195238095238089</v>
      </c>
      <c r="G77" s="39">
        <v>66.595238095238102</v>
      </c>
    </row>
    <row r="78" spans="1:10" x14ac:dyDescent="0.2">
      <c r="A78" s="1" t="s">
        <v>95</v>
      </c>
      <c r="B78" s="39">
        <v>77.88181818181819</v>
      </c>
      <c r="C78" s="39">
        <v>42.063636363636363</v>
      </c>
      <c r="D78" s="39">
        <v>77.318181818181813</v>
      </c>
      <c r="E78" s="39">
        <v>46.863636363636367</v>
      </c>
      <c r="F78" s="39">
        <v>49.927272727272729</v>
      </c>
      <c r="G78" s="39">
        <v>61.918181818181822</v>
      </c>
    </row>
    <row r="79" spans="1:10" x14ac:dyDescent="0.2">
      <c r="A79" s="1" t="s">
        <v>29</v>
      </c>
      <c r="B79" s="39">
        <v>75.331818181818164</v>
      </c>
      <c r="C79" s="39">
        <v>35.959090909090918</v>
      </c>
      <c r="D79" s="39">
        <v>68.650000000000006</v>
      </c>
      <c r="E79" s="39">
        <v>62.18636363636363</v>
      </c>
      <c r="F79" s="39">
        <v>61.277272727272731</v>
      </c>
      <c r="G79" s="39">
        <v>74.695454545454538</v>
      </c>
    </row>
    <row r="80" spans="1:10" x14ac:dyDescent="0.2">
      <c r="A80" s="1" t="s">
        <v>83</v>
      </c>
      <c r="B80" s="39">
        <v>83.960000000000008</v>
      </c>
      <c r="C80" s="39">
        <v>44.519999999999996</v>
      </c>
      <c r="D80" s="39">
        <v>76.260000000000005</v>
      </c>
      <c r="E80" s="39">
        <v>57.779999999999994</v>
      </c>
      <c r="F80" s="39">
        <v>66.960000000000008</v>
      </c>
      <c r="G80" s="39">
        <v>66.02</v>
      </c>
    </row>
    <row r="81" spans="1:9" x14ac:dyDescent="0.2">
      <c r="A81" s="1" t="s">
        <v>186</v>
      </c>
      <c r="B81" s="39">
        <v>78.225423728813567</v>
      </c>
      <c r="C81" s="39">
        <v>38.662711864406774</v>
      </c>
      <c r="D81" s="39">
        <v>71.762711864406782</v>
      </c>
      <c r="E81" s="39">
        <v>52.254237288135585</v>
      </c>
      <c r="F81" s="39">
        <v>57.833898305084759</v>
      </c>
      <c r="G81" s="39">
        <v>68.694915254237301</v>
      </c>
    </row>
    <row r="88" spans="1:9" x14ac:dyDescent="0.2">
      <c r="A88" s="49" t="s">
        <v>3</v>
      </c>
      <c r="B88" s="44" t="str">
        <f>IF($A$59=1,B76,IF($A$59=2,C76,IF($A$59=3,D76,IF($A$59=4,E76,IF($A$59=5,F76,IF($A$59=6,G76))))))</f>
        <v xml:space="preserve">BPL_Households_Pct </v>
      </c>
      <c r="C88" s="51" t="s">
        <v>229</v>
      </c>
      <c r="I88" s="1" t="s">
        <v>118</v>
      </c>
    </row>
    <row r="89" spans="1:9" x14ac:dyDescent="0.2">
      <c r="A89" s="1" t="s">
        <v>118</v>
      </c>
      <c r="B89" s="39">
        <f>IFERROR(IF($A$59=1,VLOOKUP(A89,$A$76:$B$80,2,0),IF($A$59=2,VLOOKUP(A89,$A$76:$C$80,3,0),IF($A$59=3,VLOOKUP(A89,$A$76:$D$80,4,0),IF($A$59=4,VLOOKUP(A89,$A$76:$E$80,5,0),IF($A$59=5,VLOOKUP(A89,$A$76:$F$80,6,0),IF($A$59=6,VLOOKUP(A89,$A$76:$G$80,7,0))))))),"")</f>
        <v>38.319047619047616</v>
      </c>
      <c r="C89" s="39" t="str">
        <f>IFERROR(VLOOKUP(B89,$F$90:$F$91,1,0)," ")</f>
        <v xml:space="preserve"> </v>
      </c>
      <c r="F89" s="47">
        <f>COUNT(B89:B96)</f>
        <v>4</v>
      </c>
      <c r="G89" s="3">
        <v>3</v>
      </c>
      <c r="I89" s="1" t="s">
        <v>95</v>
      </c>
    </row>
    <row r="90" spans="1:9" x14ac:dyDescent="0.2">
      <c r="A90" s="1" t="s">
        <v>95</v>
      </c>
      <c r="B90" s="39">
        <f t="shared" ref="B90:B92" si="12">IFERROR(IF($A$59=1,VLOOKUP(A90,$A$76:$B$80,2,0),IF($A$59=2,VLOOKUP(A90,$A$76:$C$80,3,0),IF($A$59=3,VLOOKUP(A90,$A$76:$D$80,4,0),IF($A$59=4,VLOOKUP(A90,$A$76:$E$80,5,0),IF($A$59=5,VLOOKUP(A90,$A$76:$F$80,6,0),IF($A$59=6,VLOOKUP(A90,$A$76:$G$80,7,0))))))),"")</f>
        <v>42.063636363636363</v>
      </c>
      <c r="C90" s="39" t="str">
        <f t="shared" ref="C90:C92" si="13">IFERROR(VLOOKUP(B90,$F$90:$F$91,1,0)," ")</f>
        <v xml:space="preserve"> </v>
      </c>
      <c r="E90" s="45" t="s">
        <v>225</v>
      </c>
      <c r="F90" s="45" t="s">
        <v>226</v>
      </c>
      <c r="G90" s="45" t="s">
        <v>227</v>
      </c>
      <c r="I90" s="1" t="s">
        <v>29</v>
      </c>
    </row>
    <row r="91" spans="1:9" x14ac:dyDescent="0.2">
      <c r="A91" s="1" t="s">
        <v>29</v>
      </c>
      <c r="B91" s="39">
        <f t="shared" si="12"/>
        <v>35.959090909090918</v>
      </c>
      <c r="C91" s="39">
        <f t="shared" si="13"/>
        <v>35.959090909090918</v>
      </c>
      <c r="E91" s="45">
        <v>1</v>
      </c>
      <c r="F91" s="48">
        <f>IF(COUNT($B$17:$B$27)&lt;$G$89," ",SMALL($B$89:$B$92,E91))</f>
        <v>35.959090909090918</v>
      </c>
      <c r="G91" s="48">
        <f>IF(COUNTA($B$17:$B$27)&lt;=$H$14," ",LARGE($B$16:$B$26,E91))</f>
        <v>83.44</v>
      </c>
      <c r="I91" s="1" t="s">
        <v>83</v>
      </c>
    </row>
    <row r="92" spans="1:9" x14ac:dyDescent="0.2">
      <c r="A92" s="1" t="s">
        <v>83</v>
      </c>
      <c r="B92" s="39">
        <f t="shared" si="12"/>
        <v>44.519999999999996</v>
      </c>
      <c r="C92" s="39" t="str">
        <f t="shared" si="13"/>
        <v xml:space="preserve"> </v>
      </c>
    </row>
    <row r="93" spans="1:9" x14ac:dyDescent="0.2">
      <c r="B93" s="39"/>
      <c r="C93" s="39"/>
      <c r="E93" s="1" t="str">
        <f>IF($F$89&lt;=$G$89," ","Highlighted is the bottom performance")</f>
        <v>Highlighted is the bottom performance</v>
      </c>
    </row>
    <row r="94" spans="1:9" x14ac:dyDescent="0.2">
      <c r="B94" s="39"/>
      <c r="C94" s="39"/>
    </row>
    <row r="95" spans="1:9" x14ac:dyDescent="0.2">
      <c r="B95" s="39"/>
      <c r="C95" s="39"/>
    </row>
    <row r="100" spans="1:2" x14ac:dyDescent="0.2">
      <c r="A100" s="22" t="s">
        <v>2</v>
      </c>
      <c r="B100" s="3" t="s">
        <v>230</v>
      </c>
    </row>
    <row r="101" spans="1:2" x14ac:dyDescent="0.2">
      <c r="A101" s="1" t="s">
        <v>72</v>
      </c>
      <c r="B101" s="39">
        <v>80.639999999999986</v>
      </c>
    </row>
    <row r="102" spans="1:2" x14ac:dyDescent="0.2">
      <c r="A102" s="1" t="s">
        <v>94</v>
      </c>
      <c r="B102" s="39">
        <v>77.533333333333317</v>
      </c>
    </row>
    <row r="103" spans="1:2" x14ac:dyDescent="0.2">
      <c r="A103" s="1" t="s">
        <v>117</v>
      </c>
      <c r="B103" s="39">
        <v>77.557142857142864</v>
      </c>
    </row>
    <row r="104" spans="1:2" x14ac:dyDescent="0.2">
      <c r="A104" s="1" t="s">
        <v>149</v>
      </c>
      <c r="B104" s="39">
        <v>80.899999999999991</v>
      </c>
    </row>
    <row r="105" spans="1:2" x14ac:dyDescent="0.2">
      <c r="A105" s="1" t="s">
        <v>156</v>
      </c>
      <c r="B105" s="39">
        <v>78.899999999999991</v>
      </c>
    </row>
    <row r="106" spans="1:2" x14ac:dyDescent="0.2">
      <c r="A106" s="1" t="s">
        <v>83</v>
      </c>
      <c r="B106" s="39">
        <v>83.960000000000008</v>
      </c>
    </row>
    <row r="107" spans="1:2" x14ac:dyDescent="0.2">
      <c r="A107" s="1" t="s">
        <v>133</v>
      </c>
      <c r="B107" s="39">
        <v>78.875</v>
      </c>
    </row>
    <row r="108" spans="1:2" x14ac:dyDescent="0.2">
      <c r="A108" s="1" t="s">
        <v>28</v>
      </c>
      <c r="B108" s="39">
        <v>73.770588235294127</v>
      </c>
    </row>
    <row r="109" spans="1:2" x14ac:dyDescent="0.2">
      <c r="A109" s="1" t="s">
        <v>108</v>
      </c>
      <c r="B109" s="39">
        <v>78.3</v>
      </c>
    </row>
    <row r="110" spans="1:2" x14ac:dyDescent="0.2">
      <c r="A110" s="1" t="s">
        <v>140</v>
      </c>
      <c r="B110" s="39">
        <v>85.924999999999997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sample_meghalaya_constituency_d</vt:lpstr>
      <vt:lpstr>Section 1</vt:lpstr>
      <vt:lpstr>Section 2_Q1 Analysis</vt:lpstr>
      <vt:lpstr>S2-Q2</vt:lpstr>
      <vt:lpstr>S2-Q3</vt:lpstr>
      <vt:lpstr>S2-Q4</vt:lpstr>
      <vt:lpstr>S4_Dashboard</vt:lpstr>
      <vt:lpstr>Dashboard_Data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Boanerjes Wann</dc:creator>
  <cp:lastModifiedBy>Boanerjes Wann</cp:lastModifiedBy>
  <dcterms:created xsi:type="dcterms:W3CDTF">2026-06-19T13:51:10Z</dcterms:created>
  <dcterms:modified xsi:type="dcterms:W3CDTF">2026-06-20T12:41:13Z</dcterms:modified>
</cp:coreProperties>
</file>