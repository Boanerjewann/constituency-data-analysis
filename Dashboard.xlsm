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user\Downloads\Boanerjes_Wann_finised_report_meghalaya_constituency_data\dashboard\"/>
    </mc:Choice>
  </mc:AlternateContent>
  <xr:revisionPtr revIDLastSave="0" documentId="13_ncr:1_{9F862EC8-43CD-467D-BA49-250D3E92626E}" xr6:coauthVersionLast="47" xr6:coauthVersionMax="47" xr10:uidLastSave="{00000000-0000-0000-0000-000000000000}"/>
  <bookViews>
    <workbookView xWindow="-120" yWindow="-120" windowWidth="20730" windowHeight="11310" xr2:uid="{0AFAA053-39DA-492F-A6BB-A45B0FF12013}"/>
  </bookViews>
  <sheets>
    <sheet name="S4_Dashboard" sheetId="1" r:id="rId1"/>
    <sheet name="Dashboard_Data" sheetId="2" state="hidden" r:id="rId2"/>
  </sheets>
  <externalReferences>
    <externalReference r:id="rId3"/>
  </externalReferences>
  <definedNames>
    <definedName name="Slicer_District">#N/A</definedName>
    <definedName name="Slicer_Primary_Occupation">#N/A</definedName>
    <definedName name="Slicer_Region">#N/A</definedName>
  </definedNames>
  <calcPr calcId="18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92" i="2" l="1"/>
  <c r="G91" i="2"/>
  <c r="B91" i="2"/>
  <c r="B90" i="2"/>
  <c r="B89" i="2"/>
  <c r="F91" i="2" s="1"/>
  <c r="C90" i="2" s="1"/>
  <c r="B88" i="2"/>
  <c r="B71" i="2"/>
  <c r="B70" i="2"/>
  <c r="B69" i="2"/>
  <c r="G68" i="2"/>
  <c r="B68" i="2"/>
  <c r="G67" i="2"/>
  <c r="B67" i="2"/>
  <c r="G66" i="2"/>
  <c r="B66" i="2"/>
  <c r="G65" i="2"/>
  <c r="B65" i="2"/>
  <c r="G64" i="2"/>
  <c r="B64" i="2"/>
  <c r="B63" i="2"/>
  <c r="B62" i="2"/>
  <c r="F68" i="2" s="1"/>
  <c r="B61" i="2"/>
  <c r="A40" i="2"/>
  <c r="B40" i="2" s="1"/>
  <c r="B39" i="2"/>
  <c r="A39" i="2"/>
  <c r="A38" i="2"/>
  <c r="B38" i="2" s="1"/>
  <c r="B37" i="2"/>
  <c r="A37" i="2"/>
  <c r="A36" i="2"/>
  <c r="B36" i="2" s="1"/>
  <c r="A35" i="2"/>
  <c r="B35" i="2" s="1"/>
  <c r="A34" i="2"/>
  <c r="B34" i="2" s="1"/>
  <c r="A33" i="2"/>
  <c r="B33" i="2" s="1"/>
  <c r="A32" i="2"/>
  <c r="B32" i="2" s="1"/>
  <c r="A31" i="2"/>
  <c r="B31" i="2" s="1"/>
  <c r="H20" i="2"/>
  <c r="G20" i="2"/>
  <c r="H19" i="2"/>
  <c r="G19" i="2"/>
  <c r="H18" i="2"/>
  <c r="G18" i="2"/>
  <c r="H17" i="2"/>
  <c r="G17" i="2"/>
  <c r="H16" i="2"/>
  <c r="D21" i="2" s="1"/>
  <c r="G16" i="2"/>
  <c r="C22" i="2" s="1"/>
  <c r="C36" i="2" s="1"/>
  <c r="G14" i="2"/>
  <c r="F22" i="2" s="1"/>
  <c r="F9" i="2"/>
  <c r="E9" i="2"/>
  <c r="D9" i="2"/>
  <c r="C9" i="2"/>
  <c r="B9" i="2"/>
  <c r="A9" i="2"/>
  <c r="D23" i="2" l="1"/>
  <c r="D25" i="2"/>
  <c r="D37" i="2"/>
  <c r="D39" i="2"/>
  <c r="C91" i="2"/>
  <c r="D35" i="2"/>
  <c r="C92" i="2"/>
  <c r="D22" i="2"/>
  <c r="D36" i="2" s="1"/>
  <c r="C26" i="2"/>
  <c r="C40" i="2" s="1"/>
  <c r="C17" i="2"/>
  <c r="C31" i="2" s="1"/>
  <c r="C18" i="2"/>
  <c r="C32" i="2" s="1"/>
  <c r="C19" i="2"/>
  <c r="C33" i="2" s="1"/>
  <c r="C20" i="2"/>
  <c r="C34" i="2" s="1"/>
  <c r="C21" i="2"/>
  <c r="C35" i="2" s="1"/>
  <c r="D24" i="2"/>
  <c r="D38" i="2" s="1"/>
  <c r="D26" i="2"/>
  <c r="D40" i="2" s="1"/>
  <c r="F62" i="2"/>
  <c r="E70" i="2" s="1"/>
  <c r="C89" i="2"/>
  <c r="C24" i="2"/>
  <c r="C38" i="2" s="1"/>
  <c r="D17" i="2"/>
  <c r="D31" i="2" s="1"/>
  <c r="D18" i="2"/>
  <c r="D32" i="2" s="1"/>
  <c r="D19" i="2"/>
  <c r="D33" i="2" s="1"/>
  <c r="D20" i="2"/>
  <c r="D34" i="2" s="1"/>
  <c r="C23" i="2"/>
  <c r="C37" i="2" s="1"/>
  <c r="C25" i="2"/>
  <c r="C39" i="2" s="1"/>
  <c r="F64" i="2"/>
  <c r="C64" i="2" s="1"/>
  <c r="F65" i="2"/>
  <c r="F66" i="2"/>
  <c r="F67" i="2"/>
  <c r="F89" i="2"/>
  <c r="E93" i="2" s="1"/>
  <c r="C68" i="2" l="1"/>
  <c r="C62" i="2"/>
  <c r="C69" i="2"/>
  <c r="C67" i="2"/>
  <c r="C66" i="2"/>
  <c r="C65" i="2"/>
  <c r="C70" i="2"/>
  <c r="C63" i="2"/>
  <c r="C71" i="2"/>
</calcChain>
</file>

<file path=xl/sharedStrings.xml><?xml version="1.0" encoding="utf-8"?>
<sst xmlns="http://schemas.openxmlformats.org/spreadsheetml/2006/main" count="121" uniqueCount="32">
  <si>
    <t xml:space="preserve">Voter_Turnout_2023_Pct </t>
  </si>
  <si>
    <t xml:space="preserve">BPL_Households_Pct </t>
  </si>
  <si>
    <t xml:space="preserve">PM_Awas_Completion_Pct </t>
  </si>
  <si>
    <t xml:space="preserve">JJM_Functional_Tap_Connections_Pct </t>
  </si>
  <si>
    <t xml:space="preserve">Pucca_Road_Pct </t>
  </si>
  <si>
    <t>Voter_Pct</t>
  </si>
  <si>
    <t>BPL_Pct</t>
  </si>
  <si>
    <t>PM_Awas_Pct</t>
  </si>
  <si>
    <t>JJM_Pct</t>
  </si>
  <si>
    <t>Fund Utilisation%</t>
  </si>
  <si>
    <t>Range</t>
  </si>
  <si>
    <t>Smallest</t>
  </si>
  <si>
    <t>Largest</t>
  </si>
  <si>
    <t>District</t>
  </si>
  <si>
    <t>South West Garo Hills</t>
  </si>
  <si>
    <t>East Garo Hills</t>
  </si>
  <si>
    <t>West Jaintia Hills</t>
  </si>
  <si>
    <t>East Jaintia Hills</t>
  </si>
  <si>
    <t>Ri Bhoi</t>
  </si>
  <si>
    <t>South Garo Hills</t>
  </si>
  <si>
    <t>East Khasi Hills</t>
  </si>
  <si>
    <t>North Garo Hills</t>
  </si>
  <si>
    <t>West Garo Hills</t>
  </si>
  <si>
    <t>West Khasi Hills</t>
  </si>
  <si>
    <t>Bottom 5</t>
  </si>
  <si>
    <t>Top 5</t>
  </si>
  <si>
    <t>Grand Total</t>
  </si>
  <si>
    <t>Macro Control</t>
  </si>
  <si>
    <t>Region</t>
  </si>
  <si>
    <t>Garo Hills</t>
  </si>
  <si>
    <t>Jaintia Hills</t>
  </si>
  <si>
    <t>Khasi Hills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</si>
</sst>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4" x14ac:knownFonts="1">
    <font>
      <sz val="11"/>
      <color theme="1"/>
      <name val="Calibri"/>
      <family val="2"/>
      <scheme val="minor"/>
    </font>
    <font>
      <sz val="11"/>
      <color theme="1"/>
      <name val="Calibri"/>
      <family val="2"/>
      <scheme val="minor"/>
    </font>
    <font>
      <b/>
      <sz val="8"/>
      <color theme="1"/>
      <name val="Calibri"/>
      <family val="2"/>
      <scheme val="minor"/>
    </font>
    <font>
      <sz val="8"/>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3" fillId="0" borderId="0" xfId="0" applyFont="1" applyAlignment="1">
      <alignment horizontal="left"/>
    </xf>
    <xf numFmtId="0" fontId="3" fillId="0" borderId="0" xfId="0" applyFont="1"/>
    <xf numFmtId="0" fontId="3" fillId="0" borderId="0" xfId="0" applyFont="1" applyAlignment="1">
      <alignment horizontal="center" vertical="center"/>
    </xf>
    <xf numFmtId="1" fontId="3" fillId="0" borderId="0" xfId="0" applyNumberFormat="1" applyFont="1" applyAlignment="1">
      <alignment horizontal="center"/>
    </xf>
    <xf numFmtId="9" fontId="3" fillId="0" borderId="0" xfId="1" applyFont="1" applyAlignment="1">
      <alignment horizontal="center"/>
    </xf>
    <xf numFmtId="0" fontId="3" fillId="0" borderId="1" xfId="0" applyFont="1" applyBorder="1" applyAlignment="1">
      <alignment horizontal="center" vertical="center"/>
    </xf>
    <xf numFmtId="0" fontId="3" fillId="0" borderId="0" xfId="0" applyFont="1" applyAlignment="1">
      <alignment horizontal="center"/>
    </xf>
    <xf numFmtId="0" fontId="2" fillId="2" borderId="2" xfId="0" applyFont="1" applyFill="1" applyBorder="1" applyAlignment="1">
      <alignment horizontal="center"/>
    </xf>
    <xf numFmtId="164" fontId="3" fillId="0" borderId="1" xfId="0" applyNumberFormat="1" applyFont="1" applyBorder="1" applyAlignment="1">
      <alignment horizontal="center" vertical="center"/>
    </xf>
    <xf numFmtId="0" fontId="2" fillId="2" borderId="1" xfId="0" applyFont="1" applyFill="1" applyBorder="1" applyAlignment="1">
      <alignment horizontal="center"/>
    </xf>
    <xf numFmtId="0" fontId="3" fillId="0" borderId="1" xfId="0" applyFont="1" applyBorder="1"/>
    <xf numFmtId="1" fontId="3" fillId="0" borderId="1" xfId="0" applyNumberFormat="1" applyFont="1" applyBorder="1" applyAlignment="1">
      <alignment horizontal="center"/>
    </xf>
    <xf numFmtId="0" fontId="3" fillId="3" borderId="0" xfId="0" applyFont="1" applyFill="1" applyAlignment="1">
      <alignment horizontal="left"/>
    </xf>
    <xf numFmtId="0" fontId="2" fillId="2" borderId="2" xfId="0" applyFont="1" applyFill="1" applyBorder="1"/>
    <xf numFmtId="0" fontId="2" fillId="2" borderId="2" xfId="0" applyFont="1" applyFill="1" applyBorder="1" applyAlignment="1">
      <alignment horizontal="center" vertical="center"/>
    </xf>
    <xf numFmtId="0" fontId="3" fillId="0" borderId="0" xfId="0" pivotButton="1" applyFont="1"/>
  </cellXfs>
  <cellStyles count="2">
    <cellStyle name="Normal" xfId="0" builtinId="0"/>
    <cellStyle name="Percent" xfId="1" builtinId="5"/>
  </cellStyles>
  <dxfs count="54">
    <dxf>
      <font>
        <sz val="8"/>
      </font>
    </dxf>
    <dxf>
      <font>
        <sz val="8"/>
      </font>
    </dxf>
    <dxf>
      <font>
        <sz val="8"/>
      </font>
    </dxf>
    <dxf>
      <font>
        <sz val="8"/>
      </font>
    </dxf>
    <dxf>
      <font>
        <sz val="8"/>
      </font>
    </dxf>
    <dxf>
      <numFmt numFmtId="1" formatCode="0"/>
    </dxf>
    <dxf>
      <alignment horizontal="center"/>
    </dxf>
    <dxf>
      <alignment horizontal="center"/>
    </dxf>
    <dxf>
      <font>
        <sz val="8"/>
      </font>
    </dxf>
    <dxf>
      <font>
        <sz val="8"/>
      </font>
    </dxf>
    <dxf>
      <font>
        <sz val="8"/>
      </font>
    </dxf>
    <dxf>
      <font>
        <sz val="8"/>
      </font>
    </dxf>
    <dxf>
      <font>
        <sz val="8"/>
      </font>
    </dxf>
    <dxf>
      <font>
        <sz val="8"/>
      </font>
    </dxf>
    <dxf>
      <font>
        <sz val="8"/>
      </font>
    </dxf>
    <dxf>
      <font>
        <sz val="8"/>
      </font>
    </dxf>
    <dxf>
      <font>
        <sz val="8"/>
      </font>
    </dxf>
    <dxf>
      <numFmt numFmtId="1" formatCode="0"/>
    </dxf>
    <dxf>
      <alignment horizontal="center"/>
    </dxf>
    <dxf>
      <alignment horizontal="center"/>
    </dxf>
    <dxf>
      <font>
        <sz val="8"/>
      </font>
    </dxf>
    <dxf>
      <font>
        <sz val="8"/>
      </font>
    </dxf>
    <dxf>
      <font>
        <sz val="8"/>
      </font>
    </dxf>
    <dxf>
      <font>
        <sz val="8"/>
      </font>
    </dxf>
    <dxf>
      <font>
        <sz val="8"/>
      </font>
    </dxf>
    <dxf>
      <font>
        <sz val="8"/>
      </font>
    </dxf>
    <dxf>
      <numFmt numFmtId="1" formatCode="0"/>
    </dxf>
    <dxf>
      <alignment horizontal="center"/>
    </dxf>
    <dxf>
      <alignment horizontal="center"/>
    </dxf>
    <dxf>
      <font>
        <sz val="8"/>
      </font>
    </dxf>
    <dxf>
      <font>
        <sz val="8"/>
      </font>
    </dxf>
    <dxf>
      <font>
        <sz val="8"/>
      </font>
    </dxf>
    <dxf>
      <font>
        <sz val="8"/>
      </font>
    </dxf>
    <dxf>
      <font>
        <sz val="8"/>
      </font>
    </dxf>
    <dxf>
      <font>
        <sz val="8"/>
      </font>
    </dxf>
    <dxf>
      <font>
        <sz val="8"/>
      </font>
    </dxf>
    <dxf>
      <font>
        <sz val="8"/>
      </font>
    </dxf>
    <dxf>
      <font>
        <sz val="8"/>
      </font>
    </dxf>
    <dxf>
      <numFmt numFmtId="1" formatCode="0"/>
    </dxf>
    <dxf>
      <alignment horizontal="center"/>
    </dxf>
    <dxf>
      <alignment horizontal="center"/>
    </dxf>
    <dxf>
      <font>
        <sz val="8"/>
      </font>
    </dxf>
    <dxf>
      <font>
        <sz val="8"/>
      </font>
    </dxf>
    <dxf>
      <font>
        <sz val="8"/>
      </font>
    </dxf>
    <dxf>
      <font>
        <sz val="8"/>
      </font>
    </dxf>
    <dxf>
      <font>
        <sz val="8"/>
      </font>
    </dxf>
    <dxf>
      <numFmt numFmtId="1" formatCode="0"/>
    </dxf>
    <dxf>
      <alignment horizontal="center"/>
    </dxf>
    <dxf>
      <alignment horizontal="center"/>
    </dxf>
    <dxf>
      <font>
        <sz val="8"/>
      </font>
    </dxf>
    <dxf>
      <font>
        <sz val="8"/>
      </font>
    </dxf>
    <dxf>
      <font>
        <sz val="8"/>
      </font>
    </dxf>
    <dxf>
      <font>
        <b/>
        <i val="0"/>
        <sz val="10"/>
        <color theme="1"/>
        <name val="Calibri"/>
        <family val="2"/>
        <scheme val="minor"/>
      </font>
      <border>
        <bottom style="thin">
          <color theme="4"/>
        </bottom>
        <vertical/>
        <horizontal/>
      </border>
    </dxf>
    <dxf>
      <font>
        <b val="0"/>
        <i val="0"/>
        <sz val="10"/>
        <color theme="1"/>
        <name val="Calibri"/>
        <family val="2"/>
        <scheme val="minor"/>
      </font>
      <border diagonalUp="0" diagonalDown="0">
        <left/>
        <right/>
        <top/>
        <bottom/>
        <vertical/>
        <horizontal/>
      </border>
    </dxf>
  </dxfs>
  <tableStyles count="1" defaultTableStyle="TableStyleMedium2" defaultPivotStyle="PivotStyleLight16">
    <tableStyle name="My Own 2" pivot="0" table="0" count="10" xr9:uid="{C7AF9AB0-E575-48CD-956B-7DE8C0F4ED53}">
      <tableStyleElement type="wholeTable" dxfId="53"/>
      <tableStyleElement type="headerRow" dxfId="52"/>
    </tableStyle>
  </tableStyles>
  <extLst>
    <ext xmlns:x14="http://schemas.microsoft.com/office/spreadsheetml/2009/9/main" uri="{46F421CA-312F-682f-3DD2-61675219B42D}">
      <x14:dxfs count="8">
        <dxf>
          <font>
            <b val="0"/>
            <i val="0"/>
            <sz val="10"/>
            <color rgb="FF000000"/>
            <name val="Calibri"/>
            <family val="2"/>
            <scheme val="minor"/>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000000"/>
            <name val="Calibri"/>
            <family val="2"/>
            <scheme val="minor"/>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000000"/>
            <name val="Calibri"/>
            <family val="2"/>
            <scheme val="minor"/>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000000"/>
            <name val="Calibri"/>
            <family val="2"/>
            <scheme val="minor"/>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auto="1"/>
            <name val="Calibri"/>
            <family val="2"/>
            <scheme val="minor"/>
          </font>
          <fill>
            <patternFill patternType="solid">
              <fgColor theme="4" tint="0.79995117038483843"/>
              <bgColor rgb="FF077A7D"/>
            </patternFill>
          </fill>
          <border>
            <left style="thin">
              <color rgb="FFCCCCCC"/>
            </left>
            <right style="thin">
              <color rgb="FFCCCCCC"/>
            </right>
            <top style="thin">
              <color rgb="FFCCCCCC"/>
            </top>
            <bottom style="thin">
              <color rgb="FFCCCCCC"/>
            </bottom>
            <vertical/>
            <horizontal/>
          </border>
        </dxf>
        <dxf>
          <font>
            <b val="0"/>
            <i val="0"/>
            <sz val="10"/>
            <color theme="0"/>
            <name val="Calibri"/>
            <family val="2"/>
            <scheme val="minor"/>
          </font>
          <fill>
            <patternFill patternType="solid">
              <fgColor theme="4" tint="0.59999389629810485"/>
              <bgColor rgb="FF077A7D"/>
            </patternFill>
          </fill>
          <border>
            <left style="thin">
              <color rgb="FF999999"/>
            </left>
            <right style="thin">
              <color rgb="FF999999"/>
            </right>
            <top style="thin">
              <color rgb="FF999999"/>
            </top>
            <bottom style="thin">
              <color rgb="FF999999"/>
            </bottom>
            <vertical/>
            <horizontal/>
          </border>
        </dxf>
        <dxf>
          <font>
            <b val="0"/>
            <i val="0"/>
            <sz val="10"/>
            <color rgb="FF828282"/>
            <name val="Calibri"/>
            <family val="2"/>
            <scheme val="minor"/>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0"/>
            <color rgb="FF000000"/>
            <name val="Calibri"/>
            <family val="2"/>
            <scheme val="minor"/>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 Own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externalLink" Target="externalLinks/externalLink1.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IN" sz="900"/>
              <a:t>Fund Utilisation%</a:t>
            </a:r>
          </a:p>
        </c:rich>
      </c:tx>
      <c:layout>
        <c:manualLayout>
          <c:xMode val="edge"/>
          <c:yMode val="edge"/>
          <c:x val="0.34421522309711289"/>
          <c:y val="2.7777777777777776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1025371828521434E-2"/>
          <c:y val="4.6296296296296294E-2"/>
          <c:w val="0.90286351706036749"/>
          <c:h val="0.68910469524642748"/>
        </c:manualLayout>
      </c:layout>
      <c:barChart>
        <c:barDir val="col"/>
        <c:grouping val="clustered"/>
        <c:varyColors val="0"/>
        <c:ser>
          <c:idx val="0"/>
          <c:order val="0"/>
          <c:tx>
            <c:strRef>
              <c:f>Dashboard_Data!$B$30</c:f>
              <c:strCache>
                <c:ptCount val="1"/>
                <c:pt idx="0">
                  <c:v>Fund Utilisation%</c:v>
                </c:pt>
              </c:strCache>
            </c:strRef>
          </c:tx>
          <c:spPr>
            <a:solidFill>
              <a:srgbClr val="06202B"/>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Dashboard_Data!$A$31:$A$40</c:f>
              <c:strCache>
                <c:ptCount val="10"/>
                <c:pt idx="0">
                  <c:v>South West Garo Hills</c:v>
                </c:pt>
                <c:pt idx="1">
                  <c:v>East Garo Hills</c:v>
                </c:pt>
                <c:pt idx="2">
                  <c:v>West Jaintia Hills</c:v>
                </c:pt>
                <c:pt idx="3">
                  <c:v>East Jaintia Hills</c:v>
                </c:pt>
                <c:pt idx="4">
                  <c:v>Ri Bhoi</c:v>
                </c:pt>
                <c:pt idx="5">
                  <c:v>South Garo Hills</c:v>
                </c:pt>
                <c:pt idx="6">
                  <c:v>East Khasi Hills</c:v>
                </c:pt>
                <c:pt idx="7">
                  <c:v>North Garo Hills</c:v>
                </c:pt>
                <c:pt idx="8">
                  <c:v>West Garo Hills</c:v>
                </c:pt>
                <c:pt idx="9">
                  <c:v>West Khasi Hills</c:v>
                </c:pt>
              </c:strCache>
            </c:strRef>
          </c:cat>
          <c:val>
            <c:numRef>
              <c:f>Dashboard_Data!$B$31:$B$40</c:f>
              <c:numCache>
                <c:formatCode>0</c:formatCode>
                <c:ptCount val="10"/>
                <c:pt idx="0">
                  <c:v>53</c:v>
                </c:pt>
                <c:pt idx="1">
                  <c:v>58.875</c:v>
                </c:pt>
                <c:pt idx="2">
                  <c:v>61.316666666666663</c:v>
                </c:pt>
                <c:pt idx="3">
                  <c:v>62.640000000000008</c:v>
                </c:pt>
                <c:pt idx="4">
                  <c:v>66.02</c:v>
                </c:pt>
                <c:pt idx="5">
                  <c:v>69.433333333333337</c:v>
                </c:pt>
                <c:pt idx="6">
                  <c:v>72.123529411764707</c:v>
                </c:pt>
                <c:pt idx="7">
                  <c:v>72.175000000000011</c:v>
                </c:pt>
                <c:pt idx="8">
                  <c:v>72.428571428571431</c:v>
                </c:pt>
                <c:pt idx="9">
                  <c:v>83.44</c:v>
                </c:pt>
              </c:numCache>
            </c:numRef>
          </c:val>
          <c:extLst>
            <c:ext xmlns:c16="http://schemas.microsoft.com/office/drawing/2014/chart" uri="{C3380CC4-5D6E-409C-BE32-E72D297353CC}">
              <c16:uniqueId val="{00000000-36F1-4CD6-94B3-C379AABA2247}"/>
            </c:ext>
          </c:extLst>
        </c:ser>
        <c:ser>
          <c:idx val="1"/>
          <c:order val="1"/>
          <c:tx>
            <c:strRef>
              <c:f>Dashboard_Data!$C$30</c:f>
              <c:strCache>
                <c:ptCount val="1"/>
                <c:pt idx="0">
                  <c:v>Bottom 5</c:v>
                </c:pt>
              </c:strCache>
            </c:strRef>
          </c:tx>
          <c:spPr>
            <a:solidFill>
              <a:srgbClr val="077A7D"/>
            </a:solidFill>
            <a:ln>
              <a:noFill/>
            </a:ln>
            <a:effectLst/>
          </c:spPr>
          <c:invertIfNegative val="0"/>
          <c:val>
            <c:numRef>
              <c:f>Dashboard_Data!$C$31:$C$40</c:f>
              <c:numCache>
                <c:formatCode>0</c:formatCode>
                <c:ptCount val="10"/>
                <c:pt idx="0">
                  <c:v>53</c:v>
                </c:pt>
                <c:pt idx="1">
                  <c:v>58.875</c:v>
                </c:pt>
                <c:pt idx="2">
                  <c:v>61.316666666666663</c:v>
                </c:pt>
                <c:pt idx="3">
                  <c:v>62.640000000000008</c:v>
                </c:pt>
                <c:pt idx="4">
                  <c:v>66.02</c:v>
                </c:pt>
                <c:pt idx="5">
                  <c:v>0</c:v>
                </c:pt>
                <c:pt idx="6">
                  <c:v>0</c:v>
                </c:pt>
                <c:pt idx="7">
                  <c:v>0</c:v>
                </c:pt>
                <c:pt idx="8">
                  <c:v>0</c:v>
                </c:pt>
                <c:pt idx="9">
                  <c:v>0</c:v>
                </c:pt>
              </c:numCache>
            </c:numRef>
          </c:val>
          <c:extLst>
            <c:ext xmlns:c16="http://schemas.microsoft.com/office/drawing/2014/chart" uri="{C3380CC4-5D6E-409C-BE32-E72D297353CC}">
              <c16:uniqueId val="{00000001-36F1-4CD6-94B3-C379AABA2247}"/>
            </c:ext>
          </c:extLst>
        </c:ser>
        <c:dLbls>
          <c:showLegendKey val="0"/>
          <c:showVal val="0"/>
          <c:showCatName val="0"/>
          <c:showSerName val="0"/>
          <c:showPercent val="0"/>
          <c:showBubbleSize val="0"/>
        </c:dLbls>
        <c:gapWidth val="219"/>
        <c:overlap val="100"/>
        <c:axId val="463592616"/>
        <c:axId val="647936136"/>
      </c:barChart>
      <c:catAx>
        <c:axId val="463592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47936136"/>
        <c:crosses val="autoZero"/>
        <c:auto val="1"/>
        <c:lblAlgn val="ctr"/>
        <c:lblOffset val="100"/>
        <c:noMultiLvlLbl val="0"/>
      </c:catAx>
      <c:valAx>
        <c:axId val="647936136"/>
        <c:scaling>
          <c:orientation val="minMax"/>
          <c:min val="1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63592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358705161854772E-2"/>
          <c:y val="0.18097222222222226"/>
          <c:w val="0.90286351706036749"/>
          <c:h val="0.56831765820939051"/>
        </c:manualLayout>
      </c:layout>
      <c:barChart>
        <c:barDir val="col"/>
        <c:grouping val="clustered"/>
        <c:varyColors val="0"/>
        <c:ser>
          <c:idx val="0"/>
          <c:order val="0"/>
          <c:tx>
            <c:strRef>
              <c:f>Dashboard_Data!$B$61</c:f>
              <c:strCache>
                <c:ptCount val="1"/>
                <c:pt idx="0">
                  <c:v>BPL_Households_Pct </c:v>
                </c:pt>
              </c:strCache>
            </c:strRef>
          </c:tx>
          <c:spPr>
            <a:solidFill>
              <a:srgbClr val="06202B"/>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Dashboard_Data!$A$62:$A$71</c:f>
              <c:strCache>
                <c:ptCount val="10"/>
                <c:pt idx="0">
                  <c:v>East Garo Hills</c:v>
                </c:pt>
                <c:pt idx="1">
                  <c:v>East Jaintia Hills</c:v>
                </c:pt>
                <c:pt idx="2">
                  <c:v>East Khasi Hills</c:v>
                </c:pt>
                <c:pt idx="3">
                  <c:v>North Garo Hills</c:v>
                </c:pt>
                <c:pt idx="4">
                  <c:v>Ri Bhoi</c:v>
                </c:pt>
                <c:pt idx="5">
                  <c:v>South Garo Hills</c:v>
                </c:pt>
                <c:pt idx="6">
                  <c:v>South West Garo Hills</c:v>
                </c:pt>
                <c:pt idx="7">
                  <c:v>West Garo Hills</c:v>
                </c:pt>
                <c:pt idx="8">
                  <c:v>West Jaintia Hills</c:v>
                </c:pt>
                <c:pt idx="9">
                  <c:v>West Khasi Hills</c:v>
                </c:pt>
              </c:strCache>
            </c:strRef>
          </c:cat>
          <c:val>
            <c:numRef>
              <c:f>Dashboard_Data!$B$62:$B$71</c:f>
              <c:numCache>
                <c:formatCode>0</c:formatCode>
                <c:ptCount val="10"/>
                <c:pt idx="0">
                  <c:v>36.975000000000001</c:v>
                </c:pt>
                <c:pt idx="1">
                  <c:v>47.280000000000008</c:v>
                </c:pt>
                <c:pt idx="2">
                  <c:v>33.505882352941178</c:v>
                </c:pt>
                <c:pt idx="3">
                  <c:v>41.725000000000001</c:v>
                </c:pt>
                <c:pt idx="4">
                  <c:v>44.519999999999996</c:v>
                </c:pt>
                <c:pt idx="5">
                  <c:v>40.833333333333336</c:v>
                </c:pt>
                <c:pt idx="6">
                  <c:v>40.966666666666669</c:v>
                </c:pt>
                <c:pt idx="7">
                  <c:v>34.928571428571431</c:v>
                </c:pt>
                <c:pt idx="8">
                  <c:v>37.716666666666661</c:v>
                </c:pt>
                <c:pt idx="9">
                  <c:v>44.3</c:v>
                </c:pt>
              </c:numCache>
            </c:numRef>
          </c:val>
          <c:extLst>
            <c:ext xmlns:c16="http://schemas.microsoft.com/office/drawing/2014/chart" uri="{C3380CC4-5D6E-409C-BE32-E72D297353CC}">
              <c16:uniqueId val="{00000000-90F7-40B7-8D20-524E4703D3F6}"/>
            </c:ext>
          </c:extLst>
        </c:ser>
        <c:ser>
          <c:idx val="1"/>
          <c:order val="1"/>
          <c:tx>
            <c:strRef>
              <c:f>Dashboard_Data!$C$61</c:f>
              <c:strCache>
                <c:ptCount val="1"/>
                <c:pt idx="0">
                  <c:v>Bottom 5</c:v>
                </c:pt>
              </c:strCache>
            </c:strRef>
          </c:tx>
          <c:spPr>
            <a:solidFill>
              <a:srgbClr val="077A7D"/>
            </a:solidFill>
            <a:ln>
              <a:noFill/>
            </a:ln>
            <a:effectLst/>
          </c:spPr>
          <c:invertIfNegative val="0"/>
          <c:val>
            <c:numRef>
              <c:f>Dashboard_Data!$C$62:$C$71</c:f>
              <c:numCache>
                <c:formatCode>0</c:formatCode>
                <c:ptCount val="10"/>
                <c:pt idx="0">
                  <c:v>36.975000000000001</c:v>
                </c:pt>
                <c:pt idx="1">
                  <c:v>0</c:v>
                </c:pt>
                <c:pt idx="2">
                  <c:v>33.505882352941178</c:v>
                </c:pt>
                <c:pt idx="3">
                  <c:v>0</c:v>
                </c:pt>
                <c:pt idx="4">
                  <c:v>0</c:v>
                </c:pt>
                <c:pt idx="5">
                  <c:v>40.833333333333336</c:v>
                </c:pt>
                <c:pt idx="6">
                  <c:v>0</c:v>
                </c:pt>
                <c:pt idx="7">
                  <c:v>34.928571428571431</c:v>
                </c:pt>
                <c:pt idx="8">
                  <c:v>37.716666666666661</c:v>
                </c:pt>
                <c:pt idx="9">
                  <c:v>0</c:v>
                </c:pt>
              </c:numCache>
            </c:numRef>
          </c:val>
          <c:extLst>
            <c:ext xmlns:c16="http://schemas.microsoft.com/office/drawing/2014/chart" uri="{C3380CC4-5D6E-409C-BE32-E72D297353CC}">
              <c16:uniqueId val="{00000001-90F7-40B7-8D20-524E4703D3F6}"/>
            </c:ext>
          </c:extLst>
        </c:ser>
        <c:dLbls>
          <c:showLegendKey val="0"/>
          <c:showVal val="0"/>
          <c:showCatName val="0"/>
          <c:showSerName val="0"/>
          <c:showPercent val="0"/>
          <c:showBubbleSize val="0"/>
        </c:dLbls>
        <c:gapWidth val="219"/>
        <c:overlap val="100"/>
        <c:axId val="424078024"/>
        <c:axId val="424079104"/>
      </c:barChart>
      <c:catAx>
        <c:axId val="424078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24079104"/>
        <c:crosses val="autoZero"/>
        <c:auto val="1"/>
        <c:lblAlgn val="ctr"/>
        <c:lblOffset val="100"/>
        <c:noMultiLvlLbl val="0"/>
      </c:catAx>
      <c:valAx>
        <c:axId val="4240791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78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251246864651893E-2"/>
          <c:y val="4.8888888888888891E-2"/>
          <c:w val="0.89035924833120916"/>
          <c:h val="0.8480076990376203"/>
        </c:manualLayout>
      </c:layout>
      <c:barChart>
        <c:barDir val="col"/>
        <c:grouping val="clustered"/>
        <c:varyColors val="0"/>
        <c:ser>
          <c:idx val="0"/>
          <c:order val="0"/>
          <c:tx>
            <c:strRef>
              <c:f>Dashboard_Data!$B$88</c:f>
              <c:strCache>
                <c:ptCount val="1"/>
                <c:pt idx="0">
                  <c:v>BPL_Households_Pct </c:v>
                </c:pt>
              </c:strCache>
            </c:strRef>
          </c:tx>
          <c:spPr>
            <a:solidFill>
              <a:srgbClr val="06202B"/>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Dashboard_Data!$A$89:$A$92</c:f>
              <c:strCache>
                <c:ptCount val="4"/>
                <c:pt idx="0">
                  <c:v>Garo Hills</c:v>
                </c:pt>
                <c:pt idx="1">
                  <c:v>Jaintia Hills</c:v>
                </c:pt>
                <c:pt idx="2">
                  <c:v>Khasi Hills</c:v>
                </c:pt>
                <c:pt idx="3">
                  <c:v>Ri Bhoi</c:v>
                </c:pt>
              </c:strCache>
            </c:strRef>
          </c:cat>
          <c:val>
            <c:numRef>
              <c:f>Dashboard_Data!$B$89:$B$92</c:f>
              <c:numCache>
                <c:formatCode>0</c:formatCode>
                <c:ptCount val="4"/>
                <c:pt idx="0">
                  <c:v>38.319047619047616</c:v>
                </c:pt>
                <c:pt idx="1">
                  <c:v>42.063636363636363</c:v>
                </c:pt>
                <c:pt idx="2">
                  <c:v>35.959090909090918</c:v>
                </c:pt>
                <c:pt idx="3">
                  <c:v>44.519999999999996</c:v>
                </c:pt>
              </c:numCache>
            </c:numRef>
          </c:val>
          <c:extLst>
            <c:ext xmlns:c16="http://schemas.microsoft.com/office/drawing/2014/chart" uri="{C3380CC4-5D6E-409C-BE32-E72D297353CC}">
              <c16:uniqueId val="{00000000-24A0-4C93-9BF1-E1D3BC7D4B6D}"/>
            </c:ext>
          </c:extLst>
        </c:ser>
        <c:ser>
          <c:idx val="1"/>
          <c:order val="1"/>
          <c:tx>
            <c:strRef>
              <c:f>Dashboard_Data!$C$88</c:f>
              <c:strCache>
                <c:ptCount val="1"/>
                <c:pt idx="0">
                  <c:v>Bottom 5</c:v>
                </c:pt>
              </c:strCache>
            </c:strRef>
          </c:tx>
          <c:spPr>
            <a:solidFill>
              <a:schemeClr val="accent2"/>
            </a:solidFill>
            <a:ln>
              <a:noFill/>
            </a:ln>
            <a:effectLst/>
          </c:spPr>
          <c:invertIfNegative val="0"/>
          <c:dPt>
            <c:idx val="0"/>
            <c:invertIfNegative val="0"/>
            <c:bubble3D val="0"/>
            <c:spPr>
              <a:solidFill>
                <a:srgbClr val="077A7D"/>
              </a:solidFill>
              <a:ln>
                <a:noFill/>
              </a:ln>
              <a:effectLst/>
            </c:spPr>
            <c:extLst>
              <c:ext xmlns:c16="http://schemas.microsoft.com/office/drawing/2014/chart" uri="{C3380CC4-5D6E-409C-BE32-E72D297353CC}">
                <c16:uniqueId val="{00000002-24A0-4C93-9BF1-E1D3BC7D4B6D}"/>
              </c:ext>
            </c:extLst>
          </c:dPt>
          <c:dPt>
            <c:idx val="1"/>
            <c:invertIfNegative val="0"/>
            <c:bubble3D val="0"/>
            <c:spPr>
              <a:solidFill>
                <a:srgbClr val="077A7D"/>
              </a:solidFill>
              <a:ln>
                <a:noFill/>
              </a:ln>
              <a:effectLst/>
            </c:spPr>
            <c:extLst>
              <c:ext xmlns:c16="http://schemas.microsoft.com/office/drawing/2014/chart" uri="{C3380CC4-5D6E-409C-BE32-E72D297353CC}">
                <c16:uniqueId val="{00000004-24A0-4C93-9BF1-E1D3BC7D4B6D}"/>
              </c:ext>
            </c:extLst>
          </c:dPt>
          <c:dPt>
            <c:idx val="2"/>
            <c:invertIfNegative val="0"/>
            <c:bubble3D val="0"/>
            <c:spPr>
              <a:solidFill>
                <a:srgbClr val="077A7D"/>
              </a:solidFill>
              <a:ln>
                <a:noFill/>
              </a:ln>
              <a:effectLst/>
            </c:spPr>
            <c:extLst>
              <c:ext xmlns:c16="http://schemas.microsoft.com/office/drawing/2014/chart" uri="{C3380CC4-5D6E-409C-BE32-E72D297353CC}">
                <c16:uniqueId val="{00000006-24A0-4C93-9BF1-E1D3BC7D4B6D}"/>
              </c:ext>
            </c:extLst>
          </c:dPt>
          <c:val>
            <c:numRef>
              <c:f>Dashboard_Data!$C$89:$C$92</c:f>
              <c:numCache>
                <c:formatCode>0</c:formatCode>
                <c:ptCount val="4"/>
                <c:pt idx="0">
                  <c:v>0</c:v>
                </c:pt>
                <c:pt idx="1">
                  <c:v>0</c:v>
                </c:pt>
                <c:pt idx="2">
                  <c:v>35.959090909090918</c:v>
                </c:pt>
                <c:pt idx="3">
                  <c:v>0</c:v>
                </c:pt>
              </c:numCache>
            </c:numRef>
          </c:val>
          <c:extLst>
            <c:ext xmlns:c16="http://schemas.microsoft.com/office/drawing/2014/chart" uri="{C3380CC4-5D6E-409C-BE32-E72D297353CC}">
              <c16:uniqueId val="{00000007-24A0-4C93-9BF1-E1D3BC7D4B6D}"/>
            </c:ext>
          </c:extLst>
        </c:ser>
        <c:dLbls>
          <c:showLegendKey val="0"/>
          <c:showVal val="0"/>
          <c:showCatName val="0"/>
          <c:showSerName val="0"/>
          <c:showPercent val="0"/>
          <c:showBubbleSize val="0"/>
        </c:dLbls>
        <c:gapWidth val="312"/>
        <c:overlap val="100"/>
        <c:axId val="650044672"/>
        <c:axId val="650045752"/>
      </c:barChart>
      <c:catAx>
        <c:axId val="65004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045752"/>
        <c:crosses val="autoZero"/>
        <c:auto val="1"/>
        <c:lblAlgn val="ctr"/>
        <c:lblOffset val="100"/>
        <c:noMultiLvlLbl val="0"/>
      </c:catAx>
      <c:valAx>
        <c:axId val="650045752"/>
        <c:scaling>
          <c:orientation val="minMax"/>
          <c:max val="10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50044672"/>
        <c:crosses val="autoZero"/>
        <c:crossBetween val="between"/>
        <c:majorUnit val="1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[Dashboard.xlsm]Dashboard_Data!Voter</c:name>
    <c:fmtId val="17"/>
  </c:pivotSource>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IN" sz="900" b="1" i="0" u="none" strike="noStrike" baseline="0">
                <a:solidFill>
                  <a:schemeClr val="tx1">
                    <a:lumMod val="65000"/>
                    <a:lumOff val="35000"/>
                  </a:schemeClr>
                </a:solidFill>
                <a:effectLst/>
              </a:rPr>
              <a:t>Voter_Turnout_2023_Pct </a:t>
            </a:r>
            <a:r>
              <a:rPr lang="en-IN" sz="900" b="0" i="0" u="none" strike="noStrike" baseline="0">
                <a:solidFill>
                  <a:schemeClr val="tx1">
                    <a:lumMod val="65000"/>
                    <a:lumOff val="35000"/>
                  </a:schemeClr>
                </a:solidFill>
              </a:rPr>
              <a:t> </a:t>
            </a:r>
            <a:endParaRPr lang="en-US" sz="900">
              <a:solidFill>
                <a:schemeClr val="tx1">
                  <a:lumMod val="65000"/>
                  <a:lumOff val="35000"/>
                </a:schemeClr>
              </a:solidFill>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noFill/>
            <a:round/>
          </a:ln>
          <a:effectLst/>
        </c:spPr>
        <c:marker>
          <c:symbol val="dash"/>
          <c:size val="13"/>
          <c:spPr>
            <a:solidFill>
              <a:srgbClr val="06202B"/>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noFill/>
            <a:round/>
          </a:ln>
          <a:effectLst/>
        </c:spPr>
        <c:marker>
          <c:symbol val="dash"/>
          <c:size val="13"/>
          <c:spPr>
            <a:solidFill>
              <a:srgbClr val="06202B"/>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Dashboard_Data!$B$100</c:f>
              <c:strCache>
                <c:ptCount val="1"/>
                <c:pt idx="0">
                  <c:v>Total</c:v>
                </c:pt>
              </c:strCache>
            </c:strRef>
          </c:tx>
          <c:spPr>
            <a:ln w="28575" cap="rnd">
              <a:noFill/>
              <a:round/>
            </a:ln>
            <a:effectLst/>
          </c:spPr>
          <c:marker>
            <c:symbol val="dash"/>
            <c:size val="13"/>
            <c:spPr>
              <a:solidFill>
                <a:srgbClr val="06202B"/>
              </a:solidFill>
              <a:ln w="9525">
                <a:noFill/>
              </a:ln>
              <a:effectLst/>
            </c:spPr>
          </c:marker>
          <c:cat>
            <c:strRef>
              <c:f>Dashboard_Data!$A$101:$A$110</c:f>
              <c:strCache>
                <c:ptCount val="10"/>
                <c:pt idx="0">
                  <c:v>West Khasi Hills</c:v>
                </c:pt>
                <c:pt idx="1">
                  <c:v>West Jaintia Hills</c:v>
                </c:pt>
                <c:pt idx="2">
                  <c:v>West Garo Hills</c:v>
                </c:pt>
                <c:pt idx="3">
                  <c:v>South West Garo Hills</c:v>
                </c:pt>
                <c:pt idx="4">
                  <c:v>South Garo Hills</c:v>
                </c:pt>
                <c:pt idx="5">
                  <c:v>Ri Bhoi</c:v>
                </c:pt>
                <c:pt idx="6">
                  <c:v>North Garo Hills</c:v>
                </c:pt>
                <c:pt idx="7">
                  <c:v>East Khasi Hills</c:v>
                </c:pt>
                <c:pt idx="8">
                  <c:v>East Jaintia Hills</c:v>
                </c:pt>
                <c:pt idx="9">
                  <c:v>East Garo Hills</c:v>
                </c:pt>
              </c:strCache>
            </c:strRef>
          </c:cat>
          <c:val>
            <c:numRef>
              <c:f>Dashboard_Data!$B$101:$B$110</c:f>
              <c:numCache>
                <c:formatCode>0</c:formatCode>
                <c:ptCount val="10"/>
                <c:pt idx="0">
                  <c:v>80.639999999999986</c:v>
                </c:pt>
                <c:pt idx="1">
                  <c:v>77.533333333333317</c:v>
                </c:pt>
                <c:pt idx="2">
                  <c:v>77.557142857142864</c:v>
                </c:pt>
                <c:pt idx="3">
                  <c:v>80.899999999999991</c:v>
                </c:pt>
                <c:pt idx="4">
                  <c:v>78.899999999999991</c:v>
                </c:pt>
                <c:pt idx="5">
                  <c:v>83.960000000000008</c:v>
                </c:pt>
                <c:pt idx="6">
                  <c:v>78.875</c:v>
                </c:pt>
                <c:pt idx="7">
                  <c:v>73.770588235294127</c:v>
                </c:pt>
                <c:pt idx="8">
                  <c:v>78.3</c:v>
                </c:pt>
                <c:pt idx="9">
                  <c:v>85.924999999999997</c:v>
                </c:pt>
              </c:numCache>
            </c:numRef>
          </c:val>
          <c:smooth val="0"/>
          <c:extLst>
            <c:ext xmlns:c16="http://schemas.microsoft.com/office/drawing/2014/chart" uri="{C3380CC4-5D6E-409C-BE32-E72D297353CC}">
              <c16:uniqueId val="{00000000-A440-4BD1-917F-7B77F8882BB9}"/>
            </c:ext>
          </c:extLst>
        </c:ser>
        <c:dLbls>
          <c:showLegendKey val="0"/>
          <c:showVal val="0"/>
          <c:showCatName val="0"/>
          <c:showSerName val="0"/>
          <c:showPercent val="0"/>
          <c:showBubbleSize val="0"/>
        </c:dLbls>
        <c:marker val="1"/>
        <c:smooth val="0"/>
        <c:axId val="660689712"/>
        <c:axId val="660691512"/>
      </c:lineChart>
      <c:catAx>
        <c:axId val="66068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0691512"/>
        <c:crosses val="autoZero"/>
        <c:auto val="1"/>
        <c:lblAlgn val="ctr"/>
        <c:lblOffset val="100"/>
        <c:noMultiLvlLbl val="0"/>
      </c:catAx>
      <c:valAx>
        <c:axId val="6606915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0689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2" fmlaLink="Dashboard_Data!$A$59" fmlaRange="Dashboard_Data!$I$1:$I$6" sel="2"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95250</xdr:colOff>
      <xdr:row>17</xdr:row>
      <xdr:rowOff>47625</xdr:rowOff>
    </xdr:from>
    <xdr:to>
      <xdr:col>7</xdr:col>
      <xdr:colOff>400050</xdr:colOff>
      <xdr:row>31</xdr:row>
      <xdr:rowOff>123825</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95250" y="3286125"/>
          <a:ext cx="4572000" cy="2743200"/>
          <a:chOff x="95250" y="2695575"/>
          <a:chExt cx="4572000" cy="2743200"/>
        </a:xfrm>
      </xdr:grpSpPr>
      <xdr:sp macro="" textlink="Dashboard_Data!F22">
        <xdr:nvSpPr>
          <xdr:cNvPr id="3" name="TextBox 2">
            <a:extLst>
              <a:ext uri="{FF2B5EF4-FFF2-40B4-BE49-F238E27FC236}">
                <a16:creationId xmlns:a16="http://schemas.microsoft.com/office/drawing/2014/main" id="{00000000-0008-0000-0000-000003000000}"/>
              </a:ext>
            </a:extLst>
          </xdr:cNvPr>
          <xdr:cNvSpPr txBox="1"/>
        </xdr:nvSpPr>
        <xdr:spPr>
          <a:xfrm>
            <a:off x="476250" y="2952749"/>
            <a:ext cx="2105025" cy="190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0D4EA4-D4FC-4AE5-AACC-6C855978AD91}" type="TxLink">
              <a:rPr lang="en-US" sz="1100" b="0" i="0" u="none" strike="noStrike">
                <a:solidFill>
                  <a:srgbClr val="000000"/>
                </a:solidFill>
                <a:latin typeface="Calibri"/>
                <a:cs typeface="Calibri"/>
              </a:rPr>
              <a:pPr/>
              <a:t>Highlighted are bottom 5</a:t>
            </a:fld>
            <a:endParaRPr lang="en-IN" sz="800"/>
          </a:p>
        </xdr:txBody>
      </xdr:sp>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95250" y="2695575"/>
          <a:ext cx="4572000" cy="274320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0</xdr:col>
      <xdr:colOff>66676</xdr:colOff>
      <xdr:row>4</xdr:row>
      <xdr:rowOff>19049</xdr:rowOff>
    </xdr:from>
    <xdr:to>
      <xdr:col>10</xdr:col>
      <xdr:colOff>553441</xdr:colOff>
      <xdr:row>11</xdr:row>
      <xdr:rowOff>19050</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6676" y="781049"/>
          <a:ext cx="6582765" cy="1333501"/>
          <a:chOff x="66676" y="561974"/>
          <a:chExt cx="6582765" cy="1333501"/>
        </a:xfrm>
        <a:effectLst>
          <a:outerShdw blurRad="76200" dist="2540000" dir="21540000" sx="34000" sy="34000" kx="1200000" algn="br" rotWithShape="0">
            <a:prstClr val="black">
              <a:alpha val="0"/>
            </a:prstClr>
          </a:outerShdw>
          <a:reflection stA="0" endPos="65000" dist="50800" dir="5400000" sy="-100000" algn="bl" rotWithShape="0"/>
        </a:effectLst>
      </xdr:grpSpPr>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66676" y="561974"/>
            <a:ext cx="6322520" cy="1333501"/>
          </a:xfrm>
          <a:prstGeom prst="roundRect">
            <a:avLst>
              <a:gd name="adj" fmla="val 5770"/>
            </a:avLst>
          </a:prstGeom>
          <a:solidFill>
            <a:srgbClr val="06202B"/>
          </a:solidFill>
          <a:ln>
            <a:noFill/>
          </a:ln>
          <a:effectLst>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400"/>
          </a:p>
        </xdr:txBody>
      </xdr:sp>
      <xdr:grpSp>
        <xdr:nvGrpSpPr>
          <xdr:cNvPr id="7" name="Group 6">
            <a:extLst>
              <a:ext uri="{FF2B5EF4-FFF2-40B4-BE49-F238E27FC236}">
                <a16:creationId xmlns:a16="http://schemas.microsoft.com/office/drawing/2014/main" id="{00000000-0008-0000-0000-000007000000}"/>
              </a:ext>
            </a:extLst>
          </xdr:cNvPr>
          <xdr:cNvGrpSpPr/>
        </xdr:nvGrpSpPr>
        <xdr:grpSpPr>
          <a:xfrm>
            <a:off x="208407" y="638175"/>
            <a:ext cx="6441034" cy="1136838"/>
            <a:chOff x="170307" y="895350"/>
            <a:chExt cx="6441034" cy="1136838"/>
          </a:xfrm>
        </xdr:grpSpPr>
        <xdr:sp macro="" textlink="">
          <xdr:nvSpPr>
            <xdr:cNvPr id="8" name="Rectangle: Rounded Corners 7">
              <a:extLst>
                <a:ext uri="{FF2B5EF4-FFF2-40B4-BE49-F238E27FC236}">
                  <a16:creationId xmlns:a16="http://schemas.microsoft.com/office/drawing/2014/main" id="{00000000-0008-0000-0000-000008000000}"/>
                </a:ext>
              </a:extLst>
            </xdr:cNvPr>
            <xdr:cNvSpPr/>
          </xdr:nvSpPr>
          <xdr:spPr>
            <a:xfrm>
              <a:off x="170307" y="908238"/>
              <a:ext cx="921555" cy="1123950"/>
            </a:xfrm>
            <a:prstGeom prst="roundRect">
              <a:avLst>
                <a:gd name="adj" fmla="val 3265"/>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5689785" y="901514"/>
              <a:ext cx="921556" cy="1123950"/>
            </a:xfrm>
            <a:prstGeom prst="roundRect">
              <a:avLst>
                <a:gd name="adj" fmla="val 5327"/>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Dashboard_Data!A7">
          <xdr:nvSpPr>
            <xdr:cNvPr id="10" name="Rectangle: Rounded Corners 9">
              <a:extLst>
                <a:ext uri="{FF2B5EF4-FFF2-40B4-BE49-F238E27FC236}">
                  <a16:creationId xmlns:a16="http://schemas.microsoft.com/office/drawing/2014/main" id="{00000000-0008-0000-0000-00000A000000}"/>
                </a:ext>
              </a:extLst>
            </xdr:cNvPr>
            <xdr:cNvSpPr/>
          </xdr:nvSpPr>
          <xdr:spPr>
            <a:xfrm>
              <a:off x="213484" y="965388"/>
              <a:ext cx="835200" cy="432000"/>
            </a:xfrm>
            <a:prstGeom prst="roundRect">
              <a:avLst>
                <a:gd name="adj" fmla="val 4902"/>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4B2DF2B-11B8-433A-A29F-3D7DF86031A3}" type="TxLink">
                <a:rPr lang="en-US" sz="800" b="0" i="0" u="none" strike="noStrike">
                  <a:solidFill>
                    <a:schemeClr val="bg1"/>
                  </a:solidFill>
                  <a:latin typeface="Calibri"/>
                  <a:ea typeface="+mn-ea"/>
                  <a:cs typeface="Calibri"/>
                </a:rPr>
                <a:pPr marL="0" indent="0" algn="ctr"/>
                <a:t>Voter_Turnout_2023_Pct </a:t>
              </a:fld>
              <a:endParaRPr lang="en-IN" sz="800" b="0" i="0" u="none" strike="noStrike">
                <a:solidFill>
                  <a:schemeClr val="bg1"/>
                </a:solidFill>
                <a:latin typeface="Calibri"/>
                <a:ea typeface="+mn-ea"/>
                <a:cs typeface="Calibri"/>
              </a:endParaRPr>
            </a:p>
          </xdr:txBody>
        </xdr:sp>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1238105" y="895350"/>
              <a:ext cx="921555" cy="1123950"/>
            </a:xfrm>
            <a:prstGeom prst="roundRect">
              <a:avLst>
                <a:gd name="adj" fmla="val 7389"/>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2356213" y="895350"/>
              <a:ext cx="921600" cy="1123950"/>
            </a:xfrm>
            <a:prstGeom prst="roundRect">
              <a:avLst>
                <a:gd name="adj" fmla="val 6358"/>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3482753" y="895350"/>
              <a:ext cx="921600" cy="1123950"/>
            </a:xfrm>
            <a:prstGeom prst="roundRect">
              <a:avLst>
                <a:gd name="adj" fmla="val 7389"/>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4609292" y="895350"/>
              <a:ext cx="921600" cy="1123950"/>
            </a:xfrm>
            <a:prstGeom prst="roundRect">
              <a:avLst>
                <a:gd name="adj" fmla="val 8420"/>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Dashboard_Data!A9">
          <xdr:nvSpPr>
            <xdr:cNvPr id="15" name="Rectangle: Rounded Corners 14">
              <a:extLst>
                <a:ext uri="{FF2B5EF4-FFF2-40B4-BE49-F238E27FC236}">
                  <a16:creationId xmlns:a16="http://schemas.microsoft.com/office/drawing/2014/main" id="{00000000-0008-0000-0000-00000F000000}"/>
                </a:ext>
              </a:extLst>
            </xdr:cNvPr>
            <xdr:cNvSpPr/>
          </xdr:nvSpPr>
          <xdr:spPr>
            <a:xfrm>
              <a:off x="340401" y="1733551"/>
              <a:ext cx="609561"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A74EE97-3623-4BF5-93CD-AEEE450A0C81}" type="TxLink">
                <a:rPr lang="en-US" sz="1050">
                  <a:solidFill>
                    <a:schemeClr val="lt1"/>
                  </a:solidFill>
                  <a:latin typeface="+mn-lt"/>
                  <a:ea typeface="+mn-ea"/>
                  <a:cs typeface="+mn-cs"/>
                </a:rPr>
                <a:pPr marL="0" indent="0" algn="ctr"/>
                <a:t>78%</a:t>
              </a:fld>
              <a:endParaRPr lang="en-IN" sz="1050">
                <a:solidFill>
                  <a:schemeClr val="lt1"/>
                </a:solidFill>
                <a:latin typeface="+mn-lt"/>
                <a:ea typeface="+mn-ea"/>
                <a:cs typeface="+mn-cs"/>
              </a:endParaRPr>
            </a:p>
          </xdr:txBody>
        </xdr:sp>
        <xdr:sp macro="" textlink="Dashboard_Data!B9">
          <xdr:nvSpPr>
            <xdr:cNvPr id="16" name="Rectangle: Rounded Corners 15">
              <a:extLst>
                <a:ext uri="{FF2B5EF4-FFF2-40B4-BE49-F238E27FC236}">
                  <a16:creationId xmlns:a16="http://schemas.microsoft.com/office/drawing/2014/main" id="{00000000-0008-0000-0000-000010000000}"/>
                </a:ext>
              </a:extLst>
            </xdr:cNvPr>
            <xdr:cNvSpPr/>
          </xdr:nvSpPr>
          <xdr:spPr>
            <a:xfrm>
              <a:off x="1394102" y="1724025"/>
              <a:ext cx="609561"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7D0FE06-6D5D-4A59-AAB5-B9005F091E84}" type="TxLink">
                <a:rPr lang="en-US" sz="1050">
                  <a:solidFill>
                    <a:schemeClr val="lt1"/>
                  </a:solidFill>
                  <a:latin typeface="+mn-lt"/>
                  <a:ea typeface="+mn-ea"/>
                  <a:cs typeface="+mn-cs"/>
                </a:rPr>
                <a:pPr marL="0" indent="0" algn="ctr"/>
                <a:t>39%</a:t>
              </a:fld>
              <a:endParaRPr lang="en-IN" sz="1050">
                <a:solidFill>
                  <a:schemeClr val="lt1"/>
                </a:solidFill>
                <a:latin typeface="+mn-lt"/>
                <a:ea typeface="+mn-ea"/>
                <a:cs typeface="+mn-cs"/>
              </a:endParaRPr>
            </a:p>
          </xdr:txBody>
        </xdr:sp>
        <xdr:sp macro="" textlink="Dashboard_Data!D9">
          <xdr:nvSpPr>
            <xdr:cNvPr id="17" name="Rectangle: Rounded Corners 16">
              <a:extLst>
                <a:ext uri="{FF2B5EF4-FFF2-40B4-BE49-F238E27FC236}">
                  <a16:creationId xmlns:a16="http://schemas.microsoft.com/office/drawing/2014/main" id="{00000000-0008-0000-0000-000011000000}"/>
                </a:ext>
              </a:extLst>
            </xdr:cNvPr>
            <xdr:cNvSpPr/>
          </xdr:nvSpPr>
          <xdr:spPr>
            <a:xfrm>
              <a:off x="3638773" y="1724025"/>
              <a:ext cx="609561"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3A80AF0-8FE1-470A-B1FF-7F8543B9791E}" type="TxLink">
                <a:rPr lang="en-US" sz="1050">
                  <a:solidFill>
                    <a:schemeClr val="lt1"/>
                  </a:solidFill>
                  <a:latin typeface="+mn-lt"/>
                  <a:ea typeface="+mn-ea"/>
                  <a:cs typeface="+mn-cs"/>
                </a:rPr>
                <a:pPr marL="0" indent="0" algn="ctr"/>
                <a:t>52%</a:t>
              </a:fld>
              <a:endParaRPr lang="en-IN" sz="1050">
                <a:solidFill>
                  <a:schemeClr val="lt1"/>
                </a:solidFill>
                <a:latin typeface="+mn-lt"/>
                <a:ea typeface="+mn-ea"/>
                <a:cs typeface="+mn-cs"/>
              </a:endParaRPr>
            </a:p>
          </xdr:txBody>
        </xdr:sp>
        <xdr:sp macro="" textlink="Dashboard_Data!C9">
          <xdr:nvSpPr>
            <xdr:cNvPr id="18" name="Rectangle: Rounded Corners 17">
              <a:extLst>
                <a:ext uri="{FF2B5EF4-FFF2-40B4-BE49-F238E27FC236}">
                  <a16:creationId xmlns:a16="http://schemas.microsoft.com/office/drawing/2014/main" id="{00000000-0008-0000-0000-000012000000}"/>
                </a:ext>
              </a:extLst>
            </xdr:cNvPr>
            <xdr:cNvSpPr/>
          </xdr:nvSpPr>
          <xdr:spPr>
            <a:xfrm>
              <a:off x="2512232" y="1724025"/>
              <a:ext cx="609562"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294469E-A30C-41A4-A92A-36DD0E12D97A}" type="TxLink">
                <a:rPr lang="en-US" sz="1050">
                  <a:solidFill>
                    <a:schemeClr val="lt1"/>
                  </a:solidFill>
                  <a:latin typeface="+mn-lt"/>
                  <a:ea typeface="+mn-ea"/>
                  <a:cs typeface="+mn-cs"/>
                </a:rPr>
                <a:pPr marL="0" indent="0" algn="ctr"/>
                <a:t>72%</a:t>
              </a:fld>
              <a:endParaRPr lang="en-IN" sz="1050">
                <a:solidFill>
                  <a:schemeClr val="lt1"/>
                </a:solidFill>
                <a:latin typeface="+mn-lt"/>
                <a:ea typeface="+mn-ea"/>
                <a:cs typeface="+mn-cs"/>
              </a:endParaRPr>
            </a:p>
          </xdr:txBody>
        </xdr:sp>
        <xdr:sp macro="" textlink="Dashboard_Data!E9">
          <xdr:nvSpPr>
            <xdr:cNvPr id="19" name="Rectangle: Rounded Corners 18">
              <a:extLst>
                <a:ext uri="{FF2B5EF4-FFF2-40B4-BE49-F238E27FC236}">
                  <a16:creationId xmlns:a16="http://schemas.microsoft.com/office/drawing/2014/main" id="{00000000-0008-0000-0000-000013000000}"/>
                </a:ext>
              </a:extLst>
            </xdr:cNvPr>
            <xdr:cNvSpPr/>
          </xdr:nvSpPr>
          <xdr:spPr>
            <a:xfrm>
              <a:off x="4765311" y="1724025"/>
              <a:ext cx="609562"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ACE499A4-474F-4C81-A329-750BD555B7C1}" type="TxLink">
                <a:rPr lang="en-US" sz="1050">
                  <a:solidFill>
                    <a:schemeClr val="lt1"/>
                  </a:solidFill>
                  <a:latin typeface="+mn-lt"/>
                  <a:ea typeface="+mn-ea"/>
                  <a:cs typeface="+mn-cs"/>
                </a:rPr>
                <a:pPr marL="0" indent="0" algn="ctr"/>
                <a:t>58%</a:t>
              </a:fld>
              <a:endParaRPr lang="en-IN" sz="1050">
                <a:solidFill>
                  <a:schemeClr val="lt1"/>
                </a:solidFill>
                <a:latin typeface="+mn-lt"/>
                <a:ea typeface="+mn-ea"/>
                <a:cs typeface="+mn-cs"/>
              </a:endParaRPr>
            </a:p>
          </xdr:txBody>
        </xdr:sp>
        <xdr:sp macro="" textlink="Dashboard_Data!F9">
          <xdr:nvSpPr>
            <xdr:cNvPr id="20" name="Rectangle: Rounded Corners 19">
              <a:extLst>
                <a:ext uri="{FF2B5EF4-FFF2-40B4-BE49-F238E27FC236}">
                  <a16:creationId xmlns:a16="http://schemas.microsoft.com/office/drawing/2014/main" id="{00000000-0008-0000-0000-000014000000}"/>
                </a:ext>
              </a:extLst>
            </xdr:cNvPr>
            <xdr:cNvSpPr/>
          </xdr:nvSpPr>
          <xdr:spPr>
            <a:xfrm>
              <a:off x="5828542" y="1717302"/>
              <a:ext cx="609562"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010586F5-D644-4A20-AB28-E66C8B1C10F1}" type="TxLink">
                <a:rPr lang="en-US" sz="1050">
                  <a:solidFill>
                    <a:schemeClr val="lt1"/>
                  </a:solidFill>
                  <a:latin typeface="+mn-lt"/>
                  <a:ea typeface="+mn-ea"/>
                  <a:cs typeface="+mn-cs"/>
                </a:rPr>
                <a:pPr marL="0" indent="0" algn="ctr"/>
                <a:t>69%</a:t>
              </a:fld>
              <a:endParaRPr lang="en-IN" sz="1050">
                <a:solidFill>
                  <a:schemeClr val="lt1"/>
                </a:solidFill>
                <a:latin typeface="+mn-lt"/>
                <a:ea typeface="+mn-ea"/>
                <a:cs typeface="+mn-cs"/>
              </a:endParaRPr>
            </a:p>
          </xdr:txBody>
        </xdr:sp>
        <xdr:sp macro="" textlink="Dashboard_Data!B6">
          <xdr:nvSpPr>
            <xdr:cNvPr id="21" name="Rectangle: Rounded Corners 20">
              <a:extLst>
                <a:ext uri="{FF2B5EF4-FFF2-40B4-BE49-F238E27FC236}">
                  <a16:creationId xmlns:a16="http://schemas.microsoft.com/office/drawing/2014/main" id="{00000000-0008-0000-0000-000015000000}"/>
                </a:ext>
              </a:extLst>
            </xdr:cNvPr>
            <xdr:cNvSpPr/>
          </xdr:nvSpPr>
          <xdr:spPr>
            <a:xfrm>
              <a:off x="1282068" y="955862"/>
              <a:ext cx="833629" cy="228600"/>
            </a:xfrm>
            <a:prstGeom prst="roundRect">
              <a:avLst>
                <a:gd name="adj" fmla="val 12521"/>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9BF4257-816B-4609-857D-D630AFD9A3BE}" type="TxLink">
                <a:rPr lang="en-US" sz="800" b="0" i="0" u="none" strike="noStrike">
                  <a:solidFill>
                    <a:schemeClr val="bg1"/>
                  </a:solidFill>
                  <a:latin typeface="Calibri"/>
                  <a:ea typeface="+mn-ea"/>
                  <a:cs typeface="Calibri"/>
                </a:rPr>
                <a:pPr marL="0" indent="0" algn="ctr"/>
                <a:t>BPL_Pct</a:t>
              </a:fld>
              <a:endParaRPr lang="en-IN" sz="1050">
                <a:solidFill>
                  <a:schemeClr val="bg1"/>
                </a:solidFill>
                <a:latin typeface="+mn-lt"/>
                <a:ea typeface="+mn-ea"/>
                <a:cs typeface="+mn-cs"/>
              </a:endParaRPr>
            </a:p>
          </xdr:txBody>
        </xdr:sp>
        <xdr:sp macro="" textlink="Dashboard_Data!C6">
          <xdr:nvSpPr>
            <xdr:cNvPr id="22" name="Rectangle: Rounded Corners 21">
              <a:extLst>
                <a:ext uri="{FF2B5EF4-FFF2-40B4-BE49-F238E27FC236}">
                  <a16:creationId xmlns:a16="http://schemas.microsoft.com/office/drawing/2014/main" id="{00000000-0008-0000-0000-000016000000}"/>
                </a:ext>
              </a:extLst>
            </xdr:cNvPr>
            <xdr:cNvSpPr/>
          </xdr:nvSpPr>
          <xdr:spPr>
            <a:xfrm>
              <a:off x="2400198" y="962025"/>
              <a:ext cx="833630" cy="228600"/>
            </a:xfrm>
            <a:prstGeom prst="roundRect">
              <a:avLst>
                <a:gd name="adj" fmla="val 12521"/>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703B96D-B424-4926-92A0-13BAB6E4B8A4}" type="TxLink">
                <a:rPr lang="en-US" sz="800" b="0" i="0" u="none" strike="noStrike">
                  <a:solidFill>
                    <a:schemeClr val="bg1"/>
                  </a:solidFill>
                  <a:latin typeface="Calibri"/>
                  <a:ea typeface="+mn-ea"/>
                  <a:cs typeface="Calibri"/>
                </a:rPr>
                <a:pPr marL="0" indent="0" algn="ctr"/>
                <a:t>PM_Awas_Pct</a:t>
              </a:fld>
              <a:endParaRPr lang="en-IN" sz="1050">
                <a:solidFill>
                  <a:schemeClr val="bg1"/>
                </a:solidFill>
                <a:latin typeface="+mn-lt"/>
                <a:ea typeface="+mn-ea"/>
                <a:cs typeface="+mn-cs"/>
              </a:endParaRPr>
            </a:p>
          </xdr:txBody>
        </xdr:sp>
        <xdr:sp macro="" textlink="Dashboard_Data!D6">
          <xdr:nvSpPr>
            <xdr:cNvPr id="23" name="Rectangle: Rounded Corners 22">
              <a:extLst>
                <a:ext uri="{FF2B5EF4-FFF2-40B4-BE49-F238E27FC236}">
                  <a16:creationId xmlns:a16="http://schemas.microsoft.com/office/drawing/2014/main" id="{00000000-0008-0000-0000-000017000000}"/>
                </a:ext>
              </a:extLst>
            </xdr:cNvPr>
            <xdr:cNvSpPr/>
          </xdr:nvSpPr>
          <xdr:spPr>
            <a:xfrm>
              <a:off x="3524498" y="952500"/>
              <a:ext cx="838111" cy="228600"/>
            </a:xfrm>
            <a:prstGeom prst="roundRect">
              <a:avLst>
                <a:gd name="adj" fmla="val 12521"/>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EA6B8B3-6919-470E-954B-3106692502A8}" type="TxLink">
                <a:rPr lang="en-US" sz="800" b="0" i="0" u="none" strike="noStrike">
                  <a:solidFill>
                    <a:schemeClr val="bg1"/>
                  </a:solidFill>
                  <a:latin typeface="Calibri"/>
                  <a:ea typeface="+mn-ea"/>
                  <a:cs typeface="Calibri"/>
                </a:rPr>
                <a:pPr marL="0" indent="0" algn="ctr"/>
                <a:t>JJM_Pct</a:t>
              </a:fld>
              <a:endParaRPr lang="en-IN" sz="1050">
                <a:solidFill>
                  <a:schemeClr val="bg1"/>
                </a:solidFill>
                <a:latin typeface="+mn-lt"/>
                <a:ea typeface="+mn-ea"/>
                <a:cs typeface="+mn-cs"/>
              </a:endParaRPr>
            </a:p>
          </xdr:txBody>
        </xdr:sp>
        <xdr:sp macro="" textlink="Dashboard_Data!E6">
          <xdr:nvSpPr>
            <xdr:cNvPr id="24" name="Rectangle: Rounded Corners 23">
              <a:extLst>
                <a:ext uri="{FF2B5EF4-FFF2-40B4-BE49-F238E27FC236}">
                  <a16:creationId xmlns:a16="http://schemas.microsoft.com/office/drawing/2014/main" id="{00000000-0008-0000-0000-000018000000}"/>
                </a:ext>
              </a:extLst>
            </xdr:cNvPr>
            <xdr:cNvSpPr/>
          </xdr:nvSpPr>
          <xdr:spPr>
            <a:xfrm>
              <a:off x="4651036" y="962025"/>
              <a:ext cx="838112" cy="228600"/>
            </a:xfrm>
            <a:prstGeom prst="roundRect">
              <a:avLst>
                <a:gd name="adj" fmla="val 12521"/>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ADBCFB8-AE3D-48F3-8134-1A3703A31A8C}" type="TxLink">
                <a:rPr lang="en-US" sz="800" b="0" i="0" u="none" strike="noStrike">
                  <a:solidFill>
                    <a:schemeClr val="bg1"/>
                  </a:solidFill>
                  <a:latin typeface="Calibri"/>
                  <a:ea typeface="+mn-ea"/>
                  <a:cs typeface="Calibri"/>
                </a:rPr>
                <a:pPr marL="0" indent="0" algn="ctr"/>
                <a:t>Pucca_Road_Pct </a:t>
              </a:fld>
              <a:endParaRPr lang="en-IN" sz="1050">
                <a:solidFill>
                  <a:schemeClr val="bg1"/>
                </a:solidFill>
                <a:latin typeface="+mn-lt"/>
                <a:ea typeface="+mn-ea"/>
                <a:cs typeface="+mn-cs"/>
              </a:endParaRPr>
            </a:p>
          </xdr:txBody>
        </xdr:sp>
        <xdr:sp macro="" textlink="Dashboard_Data!F6">
          <xdr:nvSpPr>
            <xdr:cNvPr id="25" name="Rectangle: Rounded Corners 24">
              <a:extLst>
                <a:ext uri="{FF2B5EF4-FFF2-40B4-BE49-F238E27FC236}">
                  <a16:creationId xmlns:a16="http://schemas.microsoft.com/office/drawing/2014/main" id="{00000000-0008-0000-0000-000019000000}"/>
                </a:ext>
              </a:extLst>
            </xdr:cNvPr>
            <xdr:cNvSpPr/>
          </xdr:nvSpPr>
          <xdr:spPr>
            <a:xfrm>
              <a:off x="5733748" y="977714"/>
              <a:ext cx="833630" cy="431986"/>
            </a:xfrm>
            <a:prstGeom prst="roundRect">
              <a:avLst>
                <a:gd name="adj" fmla="val 12521"/>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3CA5715-C104-4874-9493-60C1EDFE50AA}" type="TxLink">
                <a:rPr lang="en-US" sz="800" b="0" i="0" u="none" strike="noStrike">
                  <a:solidFill>
                    <a:schemeClr val="bg1"/>
                  </a:solidFill>
                  <a:latin typeface="Calibri"/>
                  <a:ea typeface="+mn-ea"/>
                  <a:cs typeface="Calibri"/>
                </a:rPr>
                <a:pPr marL="0" indent="0" algn="ctr"/>
                <a:t>Fund Utilisation%</a:t>
              </a:fld>
              <a:endParaRPr lang="en-IN" sz="800" b="0" i="0" u="none" strike="noStrike">
                <a:solidFill>
                  <a:schemeClr val="bg1"/>
                </a:solidFill>
                <a:latin typeface="Calibri"/>
                <a:ea typeface="+mn-ea"/>
                <a:cs typeface="Calibri"/>
              </a:endParaRPr>
            </a:p>
          </xdr:txBody>
        </xdr:sp>
      </xdr:grpSp>
    </xdr:grpSp>
    <xdr:clientData/>
  </xdr:twoCellAnchor>
  <xdr:twoCellAnchor>
    <xdr:from>
      <xdr:col>0</xdr:col>
      <xdr:colOff>57149</xdr:colOff>
      <xdr:row>0</xdr:row>
      <xdr:rowOff>57150</xdr:rowOff>
    </xdr:from>
    <xdr:to>
      <xdr:col>16</xdr:col>
      <xdr:colOff>161924</xdr:colOff>
      <xdr:row>2</xdr:row>
      <xdr:rowOff>133350</xdr:rowOff>
    </xdr:to>
    <xdr:sp macro="" textlink="">
      <xdr:nvSpPr>
        <xdr:cNvPr id="26" name="Rectangle: Diagonal Corners Rounded 25">
          <a:extLst>
            <a:ext uri="{FF2B5EF4-FFF2-40B4-BE49-F238E27FC236}">
              <a16:creationId xmlns:a16="http://schemas.microsoft.com/office/drawing/2014/main" id="{00000000-0008-0000-0000-00001A000000}"/>
            </a:ext>
          </a:extLst>
        </xdr:cNvPr>
        <xdr:cNvSpPr/>
      </xdr:nvSpPr>
      <xdr:spPr>
        <a:xfrm>
          <a:off x="57149" y="57150"/>
          <a:ext cx="9858375" cy="457200"/>
        </a:xfrm>
        <a:prstGeom prst="round2DiagRect">
          <a:avLst>
            <a:gd name="adj1" fmla="val 16667"/>
            <a:gd name="adj2" fmla="val 0"/>
          </a:avLst>
        </a:prstGeom>
        <a:solidFill>
          <a:srgbClr val="06202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a:latin typeface="Aharoni" panose="02010803020104030203" pitchFamily="2" charset="-79"/>
              <a:cs typeface="Aharoni" panose="02010803020104030203" pitchFamily="2" charset="-79"/>
            </a:rPr>
            <a:t>INTERACTIVE</a:t>
          </a:r>
          <a:r>
            <a:rPr lang="en-IN" sz="2400" baseline="0">
              <a:latin typeface="Aharoni" panose="02010803020104030203" pitchFamily="2" charset="-79"/>
              <a:cs typeface="Aharoni" panose="02010803020104030203" pitchFamily="2" charset="-79"/>
            </a:rPr>
            <a:t> DASHBOARD</a:t>
          </a:r>
          <a:endParaRPr lang="en-IN" sz="2400">
            <a:latin typeface="Aharoni" panose="02010803020104030203" pitchFamily="2" charset="-79"/>
            <a:cs typeface="Aharoni" panose="02010803020104030203" pitchFamily="2" charset="-79"/>
          </a:endParaRPr>
        </a:p>
      </xdr:txBody>
    </xdr:sp>
    <xdr:clientData/>
  </xdr:twoCellAnchor>
  <xdr:twoCellAnchor>
    <xdr:from>
      <xdr:col>11</xdr:col>
      <xdr:colOff>476250</xdr:colOff>
      <xdr:row>3</xdr:row>
      <xdr:rowOff>0</xdr:rowOff>
    </xdr:from>
    <xdr:to>
      <xdr:col>16</xdr:col>
      <xdr:colOff>142875</xdr:colOff>
      <xdr:row>10</xdr:row>
      <xdr:rowOff>28575</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7181850" y="571500"/>
          <a:ext cx="2714625" cy="1362075"/>
          <a:chOff x="6791325" y="571500"/>
          <a:chExt cx="2714625" cy="1362075"/>
        </a:xfrm>
      </xdr:grpSpPr>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6791325" y="571500"/>
            <a:ext cx="2714625" cy="1362075"/>
          </a:xfrm>
          <a:prstGeom prst="roundRect">
            <a:avLst>
              <a:gd name="adj" fmla="val 4321"/>
            </a:avLst>
          </a:prstGeom>
          <a:solidFill>
            <a:srgbClr val="06202B"/>
          </a:solidFill>
          <a:ln>
            <a:noFill/>
          </a:ln>
          <a:effectLst>
            <a:glow rad="2286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29" name="Primary_Occupation 1">
                <a:extLst>
                  <a:ext uri="{FF2B5EF4-FFF2-40B4-BE49-F238E27FC236}">
                    <a16:creationId xmlns:a16="http://schemas.microsoft.com/office/drawing/2014/main" id="{00000000-0008-0000-0000-00001D000000}"/>
                  </a:ext>
                </a:extLst>
              </xdr:cNvPr>
              <xdr:cNvGraphicFramePr/>
            </xdr:nvGraphicFramePr>
            <xdr:xfrm>
              <a:off x="6838951" y="619125"/>
              <a:ext cx="2619374" cy="1276349"/>
            </xdr:xfrm>
            <a:graphic>
              <a:graphicData uri="http://schemas.microsoft.com/office/drawing/2010/slicer">
                <sle:slicer xmlns:sle="http://schemas.microsoft.com/office/drawing/2010/slicer" name="Primary_Occupation 1"/>
              </a:graphicData>
            </a:graphic>
          </xdr:graphicFrame>
        </mc:Choice>
        <mc:Fallback xmlns="">
          <xdr:sp macro="" textlink="">
            <xdr:nvSpPr>
              <xdr:cNvPr id="0" name=""/>
              <xdr:cNvSpPr>
                <a:spLocks noTextEdit="1"/>
              </xdr:cNvSpPr>
            </xdr:nvSpPr>
            <xdr:spPr>
              <a:xfrm>
                <a:off x="7229476" y="619125"/>
                <a:ext cx="2619374" cy="12763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600075</xdr:colOff>
      <xdr:row>18</xdr:row>
      <xdr:rowOff>95251</xdr:rowOff>
    </xdr:from>
    <xdr:to>
      <xdr:col>3</xdr:col>
      <xdr:colOff>104775</xdr:colOff>
      <xdr:row>19</xdr:row>
      <xdr:rowOff>76201</xdr:rowOff>
    </xdr:to>
    <xdr:sp macro="" textlink="Dashboard_Data!F22">
      <xdr:nvSpPr>
        <xdr:cNvPr id="30" name="Rectangle: Rounded Corners 29">
          <a:extLst>
            <a:ext uri="{FF2B5EF4-FFF2-40B4-BE49-F238E27FC236}">
              <a16:creationId xmlns:a16="http://schemas.microsoft.com/office/drawing/2014/main" id="{00000000-0008-0000-0000-00001E000000}"/>
            </a:ext>
          </a:extLst>
        </xdr:cNvPr>
        <xdr:cNvSpPr/>
      </xdr:nvSpPr>
      <xdr:spPr>
        <a:xfrm>
          <a:off x="600075" y="3524251"/>
          <a:ext cx="1333500" cy="171450"/>
        </a:xfrm>
        <a:prstGeom prst="roundRect">
          <a:avLst>
            <a:gd name="adj" fmla="val 1252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AB607FA2-D15E-4556-90EA-C979AC6AC675}" type="TxLink">
            <a:rPr lang="en-US" sz="800" b="0" i="0" u="none" strike="noStrike">
              <a:solidFill>
                <a:srgbClr val="077A7D"/>
              </a:solidFill>
              <a:latin typeface="Calibri"/>
              <a:ea typeface="+mn-ea"/>
              <a:cs typeface="Calibri"/>
            </a:rPr>
            <a:pPr marL="0" indent="0" algn="l"/>
            <a:t>Highlighted are bottom 5</a:t>
          </a:fld>
          <a:endParaRPr lang="en-IN" sz="1050">
            <a:solidFill>
              <a:srgbClr val="077A7D"/>
            </a:solidFill>
            <a:latin typeface="+mn-lt"/>
            <a:ea typeface="+mn-ea"/>
            <a:cs typeface="+mn-cs"/>
          </a:endParaRPr>
        </a:p>
      </xdr:txBody>
    </xdr:sp>
    <xdr:clientData/>
  </xdr:twoCellAnchor>
  <xdr:twoCellAnchor>
    <xdr:from>
      <xdr:col>0</xdr:col>
      <xdr:colOff>0</xdr:colOff>
      <xdr:row>11</xdr:row>
      <xdr:rowOff>76200</xdr:rowOff>
    </xdr:from>
    <xdr:to>
      <xdr:col>12</xdr:col>
      <xdr:colOff>600075</xdr:colOff>
      <xdr:row>16</xdr:row>
      <xdr:rowOff>25801</xdr:rowOff>
    </xdr:to>
    <mc:AlternateContent xmlns:mc="http://schemas.openxmlformats.org/markup-compatibility/2006" xmlns:a14="http://schemas.microsoft.com/office/drawing/2010/main">
      <mc:Choice Requires="a14">
        <xdr:graphicFrame macro="">
          <xdr:nvGraphicFramePr>
            <xdr:cNvPr id="31" name="District 1">
              <a:extLst>
                <a:ext uri="{FF2B5EF4-FFF2-40B4-BE49-F238E27FC236}">
                  <a16:creationId xmlns:a16="http://schemas.microsoft.com/office/drawing/2014/main" id="{00000000-0008-0000-0000-00001F000000}"/>
                </a:ext>
              </a:extLst>
            </xdr:cNvPr>
            <xdr:cNvGraphicFramePr/>
          </xdr:nvGraphicFramePr>
          <xdr:xfrm>
            <a:off x="0" y="0"/>
            <a:ext cx="0" cy="0"/>
          </xdr:xfrm>
          <a:graphic>
            <a:graphicData uri="http://schemas.microsoft.com/office/drawing/2010/slicer">
              <sle:slicer xmlns:sle="http://schemas.microsoft.com/office/drawing/2010/slicer" name="District 1"/>
            </a:graphicData>
          </a:graphic>
        </xdr:graphicFrame>
      </mc:Choice>
      <mc:Fallback xmlns="">
        <xdr:sp macro="" textlink="">
          <xdr:nvSpPr>
            <xdr:cNvPr id="0" name=""/>
            <xdr:cNvSpPr>
              <a:spLocks noTextEdit="1"/>
            </xdr:cNvSpPr>
          </xdr:nvSpPr>
          <xdr:spPr>
            <a:xfrm>
              <a:off x="0" y="2171700"/>
              <a:ext cx="7915275" cy="902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523875</xdr:colOff>
      <xdr:row>11</xdr:row>
      <xdr:rowOff>57150</xdr:rowOff>
    </xdr:from>
    <xdr:to>
      <xdr:col>16</xdr:col>
      <xdr:colOff>285750</xdr:colOff>
      <xdr:row>16</xdr:row>
      <xdr:rowOff>19049</xdr:rowOff>
    </xdr:to>
    <mc:AlternateContent xmlns:mc="http://schemas.openxmlformats.org/markup-compatibility/2006" xmlns:a14="http://schemas.microsoft.com/office/drawing/2010/main">
      <mc:Choice Requires="a14">
        <xdr:graphicFrame macro="">
          <xdr:nvGraphicFramePr>
            <xdr:cNvPr id="32" name="Region">
              <a:extLst>
                <a:ext uri="{FF2B5EF4-FFF2-40B4-BE49-F238E27FC236}">
                  <a16:creationId xmlns:a16="http://schemas.microsoft.com/office/drawing/2014/main" id="{00000000-0008-0000-0000-000020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839075" y="2152650"/>
              <a:ext cx="2200275" cy="914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0</xdr:col>
          <xdr:colOff>85725</xdr:colOff>
          <xdr:row>34</xdr:row>
          <xdr:rowOff>47625</xdr:rowOff>
        </xdr:from>
        <xdr:to>
          <xdr:col>3</xdr:col>
          <xdr:colOff>409575</xdr:colOff>
          <xdr:row>38</xdr:row>
          <xdr:rowOff>104775</xdr:rowOff>
        </xdr:to>
        <xdr:sp macro="" textlink="">
          <xdr:nvSpPr>
            <xdr:cNvPr id="1025" name="List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95249</xdr:colOff>
      <xdr:row>38</xdr:row>
      <xdr:rowOff>161925</xdr:rowOff>
    </xdr:from>
    <xdr:to>
      <xdr:col>9</xdr:col>
      <xdr:colOff>142874</xdr:colOff>
      <xdr:row>53</xdr:row>
      <xdr:rowOff>161925</xdr:rowOff>
    </xdr:to>
    <xdr:graphicFrame macro="">
      <xdr:nvGraphicFramePr>
        <xdr:cNvPr id="33" name="Chart 32">
          <a:extLst>
            <a:ext uri="{FF2B5EF4-FFF2-40B4-BE49-F238E27FC236}">
              <a16:creationId xmlns:a16="http://schemas.microsoft.com/office/drawing/2014/main" id="{00000000-0008-0000-00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33</xdr:row>
      <xdr:rowOff>19049</xdr:rowOff>
    </xdr:from>
    <xdr:to>
      <xdr:col>1</xdr:col>
      <xdr:colOff>514350</xdr:colOff>
      <xdr:row>33</xdr:row>
      <xdr:rowOff>180974</xdr:rowOff>
    </xdr:to>
    <xdr:sp macro="" textlink="">
      <xdr:nvSpPr>
        <xdr:cNvPr id="34" name="Rectangle: Rounded Corners 33">
          <a:extLst>
            <a:ext uri="{FF2B5EF4-FFF2-40B4-BE49-F238E27FC236}">
              <a16:creationId xmlns:a16="http://schemas.microsoft.com/office/drawing/2014/main" id="{00000000-0008-0000-0000-000022000000}"/>
            </a:ext>
          </a:extLst>
        </xdr:cNvPr>
        <xdr:cNvSpPr/>
      </xdr:nvSpPr>
      <xdr:spPr>
        <a:xfrm>
          <a:off x="0" y="6305549"/>
          <a:ext cx="1123950" cy="161925"/>
        </a:xfrm>
        <a:prstGeom prst="roundRect">
          <a:avLst>
            <a:gd name="adj" fmla="val 1252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900" b="1" i="0" u="none" strike="noStrike">
              <a:solidFill>
                <a:srgbClr val="000000"/>
              </a:solidFill>
              <a:latin typeface="Calibri"/>
              <a:ea typeface="+mn-ea"/>
              <a:cs typeface="Calibri"/>
            </a:rPr>
            <a:t>Select</a:t>
          </a:r>
          <a:r>
            <a:rPr lang="en-US" sz="900" b="1" i="0" u="none" strike="noStrike" baseline="0">
              <a:solidFill>
                <a:srgbClr val="000000"/>
              </a:solidFill>
              <a:latin typeface="Calibri"/>
              <a:ea typeface="+mn-ea"/>
              <a:cs typeface="Calibri"/>
            </a:rPr>
            <a:t> your Metrics</a:t>
          </a:r>
          <a:endParaRPr lang="en-IN" sz="1100">
            <a:solidFill>
              <a:schemeClr val="tx1"/>
            </a:solidFill>
            <a:latin typeface="+mn-lt"/>
            <a:ea typeface="+mn-ea"/>
            <a:cs typeface="+mn-cs"/>
          </a:endParaRPr>
        </a:p>
      </xdr:txBody>
    </xdr:sp>
    <xdr:clientData/>
  </xdr:twoCellAnchor>
  <xdr:twoCellAnchor>
    <xdr:from>
      <xdr:col>9</xdr:col>
      <xdr:colOff>180975</xdr:colOff>
      <xdr:row>38</xdr:row>
      <xdr:rowOff>180974</xdr:rowOff>
    </xdr:from>
    <xdr:to>
      <xdr:col>16</xdr:col>
      <xdr:colOff>247650</xdr:colOff>
      <xdr:row>53</xdr:row>
      <xdr:rowOff>152399</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438150</xdr:colOff>
      <xdr:row>17</xdr:row>
      <xdr:rowOff>38100</xdr:rowOff>
    </xdr:from>
    <xdr:to>
      <xdr:col>16</xdr:col>
      <xdr:colOff>190500</xdr:colOff>
      <xdr:row>31</xdr:row>
      <xdr:rowOff>114300</xdr:rowOff>
    </xdr:to>
    <xdr:graphicFrame macro="">
      <xdr:nvGraphicFramePr>
        <xdr:cNvPr id="36" name="Chart 35">
          <a:extLst>
            <a:ext uri="{FF2B5EF4-FFF2-40B4-BE49-F238E27FC236}">
              <a16:creationId xmlns:a16="http://schemas.microsoft.com/office/drawing/2014/main" id="{00000000-0008-0000-00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76202</xdr:colOff>
      <xdr:row>3</xdr:row>
      <xdr:rowOff>57151</xdr:rowOff>
    </xdr:from>
    <xdr:to>
      <xdr:col>1</xdr:col>
      <xdr:colOff>447676</xdr:colOff>
      <xdr:row>3</xdr:row>
      <xdr:rowOff>180975</xdr:rowOff>
    </xdr:to>
    <xdr:sp macro="" textlink="">
      <xdr:nvSpPr>
        <xdr:cNvPr id="37" name="Rectangle: Rounded Corners 36">
          <a:extLst>
            <a:ext uri="{FF2B5EF4-FFF2-40B4-BE49-F238E27FC236}">
              <a16:creationId xmlns:a16="http://schemas.microsoft.com/office/drawing/2014/main" id="{00000000-0008-0000-0000-000025000000}"/>
            </a:ext>
          </a:extLst>
        </xdr:cNvPr>
        <xdr:cNvSpPr/>
      </xdr:nvSpPr>
      <xdr:spPr>
        <a:xfrm>
          <a:off x="76202" y="628651"/>
          <a:ext cx="981074" cy="123824"/>
        </a:xfrm>
        <a:prstGeom prst="roundRect">
          <a:avLst>
            <a:gd name="adj" fmla="val 12521"/>
          </a:avLst>
        </a:prstGeom>
        <a:solidFill>
          <a:srgbClr val="06202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900" b="0" i="0" u="none" strike="noStrike">
              <a:solidFill>
                <a:schemeClr val="bg1"/>
              </a:solidFill>
              <a:latin typeface="Calibri"/>
              <a:ea typeface="+mn-ea"/>
              <a:cs typeface="Calibri"/>
            </a:rPr>
            <a:t>Overal Summary</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0.3167</cdr:x>
      <cdr:y>0.02241</cdr:y>
    </cdr:from>
    <cdr:to>
      <cdr:x>0.75684</cdr:x>
      <cdr:y>0.09666</cdr:y>
    </cdr:to>
    <cdr:sp macro="" textlink="[1]Dashboard_Data!$B$61">
      <cdr:nvSpPr>
        <cdr:cNvPr id="2" name="Rectangle: Rounded Corners 1">
          <a:extLst xmlns:a="http://schemas.openxmlformats.org/drawingml/2006/main">
            <a:ext uri="{FF2B5EF4-FFF2-40B4-BE49-F238E27FC236}">
              <a16:creationId xmlns:a16="http://schemas.microsoft.com/office/drawing/2014/main" id="{79817DBE-331C-48B2-84F5-E2F28AD050A7}"/>
            </a:ext>
          </a:extLst>
        </cdr:cNvPr>
        <cdr:cNvSpPr/>
      </cdr:nvSpPr>
      <cdr:spPr>
        <a:xfrm xmlns:a="http://schemas.openxmlformats.org/drawingml/2006/main">
          <a:off x="1752606" y="64037"/>
          <a:ext cx="2435746" cy="212169"/>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46BDE767-4DBC-4609-B311-79A578314E41}" type="TxLink">
            <a:rPr lang="en-US" sz="900" b="1" i="0" u="none" strike="noStrike">
              <a:solidFill>
                <a:schemeClr val="bg2">
                  <a:lumMod val="50000"/>
                </a:schemeClr>
              </a:solidFill>
              <a:latin typeface="+mn-lt"/>
              <a:ea typeface="+mn-ea"/>
              <a:cs typeface="Calibri"/>
            </a:rPr>
            <a:pPr marL="0" indent="0" algn="ctr"/>
            <a:t>BPL_Households_Pct </a:t>
          </a:fld>
          <a:endParaRPr lang="en-IN" sz="900">
            <a:solidFill>
              <a:schemeClr val="bg2">
                <a:lumMod val="50000"/>
              </a:schemeClr>
            </a:solidFill>
            <a:latin typeface="+mn-lt"/>
            <a:ea typeface="+mn-ea"/>
            <a:cs typeface="+mn-cs"/>
          </a:endParaRPr>
        </a:p>
      </cdr:txBody>
    </cdr:sp>
  </cdr:relSizeAnchor>
  <cdr:relSizeAnchor xmlns:cdr="http://schemas.openxmlformats.org/drawingml/2006/chartDrawing">
    <cdr:from>
      <cdr:x>0.07705</cdr:x>
      <cdr:y>0.07755</cdr:y>
    </cdr:from>
    <cdr:to>
      <cdr:x>0.31497</cdr:x>
      <cdr:y>0.14667</cdr:y>
    </cdr:to>
    <cdr:sp macro="" textlink="[1]Dashboard_Data!$E$70">
      <cdr:nvSpPr>
        <cdr:cNvPr id="3" name="Rectangle: Rounded Corners 2">
          <a:extLst xmlns:a="http://schemas.openxmlformats.org/drawingml/2006/main">
            <a:ext uri="{FF2B5EF4-FFF2-40B4-BE49-F238E27FC236}">
              <a16:creationId xmlns:a16="http://schemas.microsoft.com/office/drawing/2014/main" id="{22175A52-B3B8-D0D5-EFC5-DBF24E86F5B0}"/>
            </a:ext>
          </a:extLst>
        </cdr:cNvPr>
        <cdr:cNvSpPr/>
      </cdr:nvSpPr>
      <cdr:spPr>
        <a:xfrm xmlns:a="http://schemas.openxmlformats.org/drawingml/2006/main">
          <a:off x="426410" y="221599"/>
          <a:ext cx="1316666" cy="197501"/>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horzOverflow="clip" wrap="square"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l"/>
          <a:fld id="{62EF647D-CB43-4735-AA18-23ACB977694B}" type="TxLink">
            <a:rPr lang="en-US" sz="800" b="0" i="0" u="none" strike="noStrike">
              <a:solidFill>
                <a:srgbClr val="077A7D"/>
              </a:solidFill>
              <a:latin typeface="Calibri"/>
              <a:ea typeface="+mn-ea"/>
              <a:cs typeface="Calibri"/>
            </a:rPr>
            <a:pPr marL="0" indent="0" algn="l"/>
            <a:t>Highlighted are bottom 5</a:t>
          </a:fld>
          <a:endParaRPr lang="en-IN" sz="1050">
            <a:solidFill>
              <a:srgbClr val="077A7D"/>
            </a:solidFill>
            <a:latin typeface="+mn-lt"/>
            <a:ea typeface="+mn-ea"/>
            <a:cs typeface="+mn-cs"/>
          </a:endParaRPr>
        </a:p>
      </cdr:txBody>
    </cdr:sp>
  </cdr:relSizeAnchor>
  <cdr:relSizeAnchor xmlns:cdr="http://schemas.openxmlformats.org/drawingml/2006/chartDrawing">
    <cdr:from>
      <cdr:x>0.44808</cdr:x>
      <cdr:y>0.09778</cdr:y>
    </cdr:from>
    <cdr:to>
      <cdr:x>0.6088</cdr:x>
      <cdr:y>0.14088</cdr:y>
    </cdr:to>
    <cdr:sp macro="" textlink="">
      <cdr:nvSpPr>
        <cdr:cNvPr id="4" name="Rectangle: Rounded Corners 3">
          <a:extLst xmlns:a="http://schemas.openxmlformats.org/drawingml/2006/main">
            <a:ext uri="{FF2B5EF4-FFF2-40B4-BE49-F238E27FC236}">
              <a16:creationId xmlns:a16="http://schemas.microsoft.com/office/drawing/2014/main" id="{46D786FA-D1A1-65FB-DDB0-76A3FB71FA48}"/>
            </a:ext>
          </a:extLst>
        </cdr:cNvPr>
        <cdr:cNvSpPr/>
      </cdr:nvSpPr>
      <cdr:spPr>
        <a:xfrm xmlns:a="http://schemas.openxmlformats.org/drawingml/2006/main">
          <a:off x="2479675" y="279400"/>
          <a:ext cx="889455" cy="123153"/>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r>
            <a:rPr lang="en-IN" sz="900" b="1" i="0" u="none" strike="noStrike">
              <a:solidFill>
                <a:schemeClr val="bg2">
                  <a:lumMod val="50000"/>
                </a:schemeClr>
              </a:solidFill>
              <a:latin typeface="+mn-lt"/>
              <a:ea typeface="+mn-ea"/>
              <a:cs typeface="Calibri"/>
            </a:rPr>
            <a:t>District Wise</a:t>
          </a:r>
        </a:p>
      </cdr:txBody>
    </cdr:sp>
  </cdr:relSizeAnchor>
</c:userShapes>
</file>

<file path=xl/drawings/drawing3.xml><?xml version="1.0" encoding="utf-8"?>
<c:userShapes xmlns:c="http://schemas.openxmlformats.org/drawingml/2006/chart">
  <cdr:relSizeAnchor xmlns:cdr="http://schemas.openxmlformats.org/drawingml/2006/chartDrawing">
    <cdr:from>
      <cdr:x>0.22175</cdr:x>
      <cdr:y>0.01775</cdr:y>
    </cdr:from>
    <cdr:to>
      <cdr:x>0.78875</cdr:x>
      <cdr:y>0.09201</cdr:y>
    </cdr:to>
    <cdr:sp macro="" textlink="[1]Dashboard_Data!$B$88">
      <cdr:nvSpPr>
        <cdr:cNvPr id="2" name="Rectangle: Rounded Corners 1">
          <a:extLst xmlns:a="http://schemas.openxmlformats.org/drawingml/2006/main">
            <a:ext uri="{FF2B5EF4-FFF2-40B4-BE49-F238E27FC236}">
              <a16:creationId xmlns:a16="http://schemas.microsoft.com/office/drawing/2014/main" id="{75EDE2EA-244D-3DC9-86D0-905A257754AD}"/>
            </a:ext>
          </a:extLst>
        </cdr:cNvPr>
        <cdr:cNvSpPr/>
      </cdr:nvSpPr>
      <cdr:spPr>
        <a:xfrm xmlns:a="http://schemas.openxmlformats.org/drawingml/2006/main">
          <a:off x="961032" y="50395"/>
          <a:ext cx="2457308" cy="210783"/>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1FE6D589-BC56-49DA-8BEB-DF178CEC67DA}" type="TxLink">
            <a:rPr lang="en-US" sz="900" b="1" i="0" u="none" strike="noStrike">
              <a:solidFill>
                <a:schemeClr val="bg2">
                  <a:lumMod val="50000"/>
                </a:schemeClr>
              </a:solidFill>
              <a:latin typeface="+mn-lt"/>
              <a:ea typeface="+mn-ea"/>
              <a:cs typeface="Calibri"/>
            </a:rPr>
            <a:pPr marL="0" indent="0" algn="ctr"/>
            <a:t>BPL_Households_Pct </a:t>
          </a:fld>
          <a:endParaRPr lang="en-IN" sz="900" b="1" i="0" u="none" strike="noStrike">
            <a:solidFill>
              <a:schemeClr val="bg2">
                <a:lumMod val="50000"/>
              </a:schemeClr>
            </a:solidFill>
            <a:latin typeface="+mn-lt"/>
            <a:ea typeface="+mn-ea"/>
            <a:cs typeface="Calibri"/>
          </a:endParaRPr>
        </a:p>
      </cdr:txBody>
    </cdr:sp>
  </cdr:relSizeAnchor>
  <cdr:relSizeAnchor xmlns:cdr="http://schemas.openxmlformats.org/drawingml/2006/chartDrawing">
    <cdr:from>
      <cdr:x>0.40576</cdr:x>
      <cdr:y>0.08778</cdr:y>
    </cdr:from>
    <cdr:to>
      <cdr:x>0.61099</cdr:x>
      <cdr:y>0.13131</cdr:y>
    </cdr:to>
    <cdr:sp macro="" textlink="[1]Dashboard_Data!$E$93">
      <cdr:nvSpPr>
        <cdr:cNvPr id="3" name="Rectangle: Rounded Corners 2">
          <a:extLst xmlns:a="http://schemas.openxmlformats.org/drawingml/2006/main">
            <a:ext uri="{FF2B5EF4-FFF2-40B4-BE49-F238E27FC236}">
              <a16:creationId xmlns:a16="http://schemas.microsoft.com/office/drawing/2014/main" id="{CB2D8EE8-CA51-52CC-9B63-F74190C26CC2}"/>
            </a:ext>
          </a:extLst>
        </cdr:cNvPr>
        <cdr:cNvSpPr/>
      </cdr:nvSpPr>
      <cdr:spPr>
        <a:xfrm xmlns:a="http://schemas.openxmlformats.org/drawingml/2006/main">
          <a:off x="1758495" y="248323"/>
          <a:ext cx="889455" cy="123153"/>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r>
            <a:rPr lang="en-IN" sz="900" b="1" i="0" u="none" strike="noStrike">
              <a:solidFill>
                <a:schemeClr val="bg2">
                  <a:lumMod val="50000"/>
                </a:schemeClr>
              </a:solidFill>
              <a:latin typeface="+mn-lt"/>
              <a:ea typeface="+mn-ea"/>
              <a:cs typeface="Calibri"/>
            </a:rPr>
            <a:t>Region Wise</a:t>
          </a:r>
        </a:p>
      </cdr:txBody>
    </cdr:sp>
  </cdr:relSizeAnchor>
  <cdr:relSizeAnchor xmlns:cdr="http://schemas.openxmlformats.org/drawingml/2006/chartDrawing">
    <cdr:from>
      <cdr:x>0.0651</cdr:x>
      <cdr:y>0.13829</cdr:y>
    </cdr:from>
    <cdr:to>
      <cdr:x>0.61425</cdr:x>
      <cdr:y>0.17718</cdr:y>
    </cdr:to>
    <cdr:sp macro="" textlink="[1]Dashboard_Data!$E$93">
      <cdr:nvSpPr>
        <cdr:cNvPr id="4" name="Rectangle: Rounded Corners 3">
          <a:extLst xmlns:a="http://schemas.openxmlformats.org/drawingml/2006/main">
            <a:ext uri="{FF2B5EF4-FFF2-40B4-BE49-F238E27FC236}">
              <a16:creationId xmlns:a16="http://schemas.microsoft.com/office/drawing/2014/main" id="{4B479EFA-FA68-81C7-9AE6-9AB02F1A5224}"/>
            </a:ext>
          </a:extLst>
        </cdr:cNvPr>
        <cdr:cNvSpPr/>
      </cdr:nvSpPr>
      <cdr:spPr>
        <a:xfrm xmlns:a="http://schemas.openxmlformats.org/drawingml/2006/main">
          <a:off x="282120" y="391198"/>
          <a:ext cx="2379948" cy="110017"/>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horzOverflow="clip"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l"/>
          <a:fld id="{F8A8CAB5-0D1F-4BC2-97D9-47FEE30B0A24}" type="TxLink">
            <a:rPr lang="en-US" sz="800" b="0" i="0" u="none" strike="noStrike">
              <a:solidFill>
                <a:srgbClr val="077A7D"/>
              </a:solidFill>
              <a:latin typeface="Calibri"/>
              <a:ea typeface="+mn-ea"/>
              <a:cs typeface="Calibri"/>
            </a:rPr>
            <a:pPr marL="0" indent="0" algn="l"/>
            <a:t>Highlighted is the bottom performance</a:t>
          </a:fld>
          <a:endParaRPr lang="en-IN" sz="800" b="0" i="0" u="none" strike="noStrike">
            <a:solidFill>
              <a:srgbClr val="077A7D"/>
            </a:solidFill>
            <a:latin typeface="Calibri"/>
            <a:ea typeface="+mn-ea"/>
            <a:cs typeface="Calibri"/>
          </a:endParaRPr>
        </a:p>
      </cdr:txBody>
    </cdr:sp>
  </cdr:relSizeAnchor>
</c:userShapes>
</file>

<file path=xl/externalLinks/_rels/externalLink1.xml.rels><?xml version="1.0" encoding="UTF-8" standalone="yes"?>
<Relationships xmlns="http://schemas.openxmlformats.org/package/2006/relationships"><Relationship Id="rId1" Type="http://schemas.microsoft.com/office/2006/relationships/xlExternalLinkPath/xlPathMissing" Target="Dashboard_Da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_Data"/>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er/Downloads/Boanerjes_Wann_finised_report_meghalaya_constituency_data/notebook/Boanerjes_Wann_finished_report_meghalaya_constituency_data.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oanerjes Wann" refreshedDate="46193.626574768517" createdVersion="8" refreshedVersion="8" minRefreshableVersion="3" recordCount="59" xr:uid="{1AE750C8-2567-4E17-A53D-2B76185AD7A9}">
  <cacheSource type="worksheet">
    <worksheetSource name="Table1" r:id="rId2"/>
  </cacheSource>
  <cacheFields count="31">
    <cacheField name="Constituency_ID" numFmtId="0">
      <sharedItems/>
    </cacheField>
    <cacheField name="Constituency_Name" numFmtId="0">
      <sharedItems/>
    </cacheField>
    <cacheField name="District" numFmtId="0">
      <sharedItems count="10">
        <s v="West Jaintia Hills"/>
        <s v="South West Garo Hills"/>
        <s v="East Garo Hills"/>
        <s v="East Khasi Hills"/>
        <s v="East Jaintia Hills"/>
        <s v="Ri Bhoi"/>
        <s v="West Garo Hills"/>
        <s v="North Garo Hills"/>
        <s v="West Khasi Hills"/>
        <s v="South Garo Hills"/>
      </sharedItems>
    </cacheField>
    <cacheField name="Region" numFmtId="0">
      <sharedItems count="4">
        <s v="Jaintia Hills"/>
        <s v="Garo Hills"/>
        <s v="Khasi Hills"/>
        <s v="Ri Bhoi"/>
      </sharedItems>
    </cacheField>
    <cacheField name="Electorate_2023" numFmtId="0">
      <sharedItems containsSemiMixedTypes="0" containsString="0" containsNumber="1" containsInteger="1" minValue="11305" maxValue="63978"/>
    </cacheField>
    <cacheField name="Voter_Turnout_2023_Pct" numFmtId="0">
      <sharedItems containsSemiMixedTypes="0" containsString="0" containsNumber="1" minValue="57.2" maxValue="91.1"/>
    </cacheField>
    <cacheField name="Total_Households" numFmtId="0">
      <sharedItems containsSemiMixedTypes="0" containsString="0" containsNumber="1" containsInteger="1" minValue="1629" maxValue="11211"/>
    </cacheField>
    <cacheField name="BPL_Households_Pct" numFmtId="0">
      <sharedItems containsSemiMixedTypes="0" containsString="0" containsNumber="1" minValue="12.6" maxValue="58"/>
    </cacheField>
    <cacheField name="BPL_Households_Count" numFmtId="0">
      <sharedItems containsSemiMixedTypes="0" containsString="0" containsNumber="1" containsInteger="1" minValue="491" maxValue="2892"/>
    </cacheField>
    <cacheField name="MGNREGS_Active_Job_Cards" numFmtId="0">
      <sharedItems containsSemiMixedTypes="0" containsString="0" containsNumber="1" containsInteger="1" minValue="120" maxValue="1987"/>
    </cacheField>
    <cacheField name="MGNREGS_Person_Days_FY2425" numFmtId="0">
      <sharedItems containsSemiMixedTypes="0" containsString="0" containsNumber="1" containsInteger="1" minValue="3203" maxValue="118557"/>
    </cacheField>
    <cacheField name="PM_Awas_Yojana_Sanctioned" numFmtId="0">
      <sharedItems containsSemiMixedTypes="0" containsString="0" containsNumber="1" containsInteger="1" minValue="89" maxValue="506"/>
    </cacheField>
    <cacheField name="PM_Awas_Yojana_Completed" numFmtId="0">
      <sharedItems containsSemiMixedTypes="0" containsString="0" containsNumber="1" containsInteger="1" minValue="52" maxValue="461"/>
    </cacheField>
    <cacheField name="PM_Awas_Completion_Pct" numFmtId="0">
      <sharedItems containsSemiMixedTypes="0" containsString="0" containsNumber="1" minValue="46.9" maxValue="91.2"/>
    </cacheField>
    <cacheField name="JJM_Functional_Tap_Connections_Pct" numFmtId="0">
      <sharedItems containsSemiMixedTypes="0" containsString="0" containsNumber="1" minValue="23.4" maxValue="92.1"/>
    </cacheField>
    <cacheField name="Road_Length_Km" numFmtId="0">
      <sharedItems containsSemiMixedTypes="0" containsString="0" containsNumber="1" minValue="37.5" maxValue="307.10000000000002"/>
    </cacheField>
    <cacheField name="Pucca_Road_Pct" numFmtId="0">
      <sharedItems containsSemiMixedTypes="0" containsString="0" containsNumber="1" minValue="28" maxValue="91.8"/>
    </cacheField>
    <cacheField name="Health_Sub_Centres" numFmtId="0">
      <sharedItems containsSemiMixedTypes="0" containsString="0" containsNumber="1" containsInteger="1" minValue="2" maxValue="18"/>
    </cacheField>
    <cacheField name="Primary_Health_Centres" numFmtId="0">
      <sharedItems containsSemiMixedTypes="0" containsString="0" containsNumber="1" containsInteger="1" minValue="1" maxValue="6"/>
    </cacheField>
    <cacheField name="Community_Health_Centres" numFmtId="0">
      <sharedItems containsSemiMixedTypes="0" containsString="0" containsNumber="1" containsInteger="1" minValue="0" maxValue="2"/>
    </cacheField>
    <cacheField name="Govt_Primary_Schools" numFmtId="0">
      <sharedItems containsSemiMixedTypes="0" containsString="0" containsNumber="1" containsInteger="1" minValue="8" maxValue="55"/>
    </cacheField>
    <cacheField name="Govt_Secondary_Schools" numFmtId="0">
      <sharedItems containsSemiMixedTypes="0" containsString="0" containsNumber="1" containsInteger="1" minValue="3" maxValue="22"/>
    </cacheField>
    <cacheField name="Literacy_Rate_Pct" numFmtId="0">
      <sharedItems containsSemiMixedTypes="0" containsString="0" containsNumber="1" minValue="58.7" maxValue="95.3"/>
    </cacheField>
    <cacheField name="PM_KISAN_Beneficiaries" numFmtId="0">
      <sharedItems containsSemiMixedTypes="0" containsString="0" containsNumber="1" containsInteger="1" minValue="176" maxValue="1634"/>
    </cacheField>
    <cacheField name="Internet_4G_Coverage_Pct" numFmtId="0">
      <sharedItems containsSemiMixedTypes="0" containsString="0" containsNumber="1" minValue="18.100000000000001" maxValue="96.9"/>
    </cacheField>
    <cacheField name="Constituency_Fund_Allocated_Lakhs" numFmtId="0">
      <sharedItems containsSemiMixedTypes="0" containsString="0" containsNumber="1" minValue="81.38" maxValue="198.13"/>
    </cacheField>
    <cacheField name="Constituency_Fund_Utilized_Pct" numFmtId="0">
      <sharedItems containsSemiMixedTypes="0" containsString="0" containsNumber="1" minValue="35.299999999999997" maxValue="96.3"/>
    </cacheField>
    <cacheField name="Primary_Occupation" numFmtId="0">
      <sharedItems count="6">
        <s v="Agriculture"/>
        <s v="Coal &amp; Limestone Mining"/>
        <s v="Horticulture"/>
        <s v="Agriculture &amp; Forestry"/>
        <s v="Government Employment"/>
        <s v="Trade &amp; Services"/>
      </sharedItems>
    </cacheField>
    <cacheField name="Derived_Col_Infrastructure_Index" numFmtId="2">
      <sharedItems containsSemiMixedTypes="0" containsString="0" containsNumber="1" minValue="27.399999999999995" maxValue="88.033333333333346"/>
    </cacheField>
    <cacheField name="Derived_Col_Welfare Dependency" numFmtId="164">
      <sharedItems containsSemiMixedTypes="0" containsString="0" containsNumber="1" minValue="6.3300739878314429" maxValue="30.260611171344816"/>
    </cacheField>
    <cacheField name="Derive_Col_Low Fund Utilisation Flag" numFmtId="164">
      <sharedItems/>
    </cacheField>
  </cacheFields>
  <extLst>
    <ext xmlns:x14="http://schemas.microsoft.com/office/spreadsheetml/2009/9/main" uri="{725AE2AE-9491-48be-B2B4-4EB974FC3084}">
      <x14:pivotCacheDefinition pivotCacheId="17055210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s v="MH031"/>
    <s v="Shangpung"/>
    <x v="0"/>
    <x v="0"/>
    <n v="20707"/>
    <n v="76.5"/>
    <n v="2825"/>
    <n v="44"/>
    <n v="1243"/>
    <n v="785"/>
    <n v="58067"/>
    <n v="195"/>
    <n v="151"/>
    <n v="77.8"/>
    <n v="29.1"/>
    <n v="288.39999999999998"/>
    <n v="49.6"/>
    <n v="2"/>
    <n v="5"/>
    <n v="1"/>
    <n v="38"/>
    <n v="18"/>
    <n v="69.5"/>
    <n v="1030"/>
    <n v="43.8"/>
    <n v="102.12"/>
    <n v="35.299999999999997"/>
    <x v="0"/>
    <n v="40.833333333333336"/>
    <n v="23.402110397450137"/>
    <s v="Low"/>
  </r>
  <r>
    <s v="MH055"/>
    <s v="Gambegre"/>
    <x v="1"/>
    <x v="1"/>
    <n v="12630"/>
    <n v="85.5"/>
    <n v="2061"/>
    <n v="42.6"/>
    <n v="877"/>
    <n v="598"/>
    <n v="27464"/>
    <n v="162"/>
    <n v="81"/>
    <n v="50.3"/>
    <n v="46.1"/>
    <n v="148"/>
    <n v="57.9"/>
    <n v="17"/>
    <n v="5"/>
    <n v="2"/>
    <n v="27"/>
    <n v="4"/>
    <n v="63.7"/>
    <n v="356"/>
    <n v="69"/>
    <n v="198.13"/>
    <n v="35.6"/>
    <x v="0"/>
    <n v="57.666666666666664"/>
    <n v="22.387252573238321"/>
    <s v="Low"/>
  </r>
  <r>
    <s v="MH050"/>
    <s v="Raksamgiri"/>
    <x v="2"/>
    <x v="1"/>
    <n v="25689"/>
    <n v="87.6"/>
    <n v="3250"/>
    <n v="43.1"/>
    <n v="1400"/>
    <n v="1167"/>
    <n v="42869"/>
    <n v="265"/>
    <n v="227"/>
    <n v="85.7"/>
    <n v="51.2"/>
    <n v="189.9"/>
    <n v="70.400000000000006"/>
    <n v="3"/>
    <n v="4"/>
    <n v="1"/>
    <n v="35"/>
    <n v="6"/>
    <n v="70.7"/>
    <n v="458"/>
    <n v="50.8"/>
    <n v="189.16"/>
    <n v="36.799999999999997"/>
    <x v="0"/>
    <n v="57.466666666666669"/>
    <n v="22.384384366849623"/>
    <s v="Low"/>
  </r>
  <r>
    <s v="MH054"/>
    <s v="Mahendraganj"/>
    <x v="1"/>
    <x v="1"/>
    <n v="22135"/>
    <n v="79"/>
    <n v="3159"/>
    <n v="47.7"/>
    <n v="1506"/>
    <n v="859"/>
    <n v="55524"/>
    <n v="325"/>
    <n v="160"/>
    <n v="49.3"/>
    <n v="51.7"/>
    <n v="170.3"/>
    <n v="48"/>
    <n v="7"/>
    <n v="3"/>
    <n v="1"/>
    <n v="54"/>
    <n v="13"/>
    <n v="78.2"/>
    <n v="422"/>
    <n v="26.5"/>
    <n v="148.11000000000001"/>
    <n v="37.5"/>
    <x v="1"/>
    <n v="42.06666666666667"/>
    <n v="25.10421278518184"/>
    <s v="Low"/>
  </r>
  <r>
    <s v="MH018"/>
    <s v="Sohra"/>
    <x v="3"/>
    <x v="2"/>
    <n v="21278"/>
    <n v="80.7"/>
    <n v="2355"/>
    <n v="55"/>
    <n v="1295"/>
    <n v="786"/>
    <n v="28905"/>
    <n v="182"/>
    <n v="126"/>
    <n v="69.400000000000006"/>
    <n v="67.2"/>
    <n v="244.8"/>
    <n v="69.400000000000006"/>
    <n v="8"/>
    <n v="3"/>
    <n v="1"/>
    <n v="12"/>
    <n v="13"/>
    <n v="74.2"/>
    <n v="833"/>
    <n v="45.4"/>
    <n v="159.61000000000001"/>
    <n v="40.1"/>
    <x v="2"/>
    <n v="60.666666666666664"/>
    <n v="28.179222671303695"/>
    <s v="Low"/>
  </r>
  <r>
    <s v="MH014"/>
    <s v="Mawkynroh-Umsning"/>
    <x v="3"/>
    <x v="2"/>
    <n v="14782"/>
    <n v="89.8"/>
    <n v="1774"/>
    <n v="36.5"/>
    <n v="647"/>
    <n v="396"/>
    <n v="19291"/>
    <n v="114"/>
    <n v="96"/>
    <n v="85.1"/>
    <n v="50.3"/>
    <n v="140.30000000000001"/>
    <n v="68"/>
    <n v="3"/>
    <n v="1"/>
    <n v="2"/>
    <n v="35"/>
    <n v="11"/>
    <n v="59.1"/>
    <n v="664"/>
    <n v="26.7"/>
    <n v="120.03"/>
    <n v="40.5"/>
    <x v="2"/>
    <n v="48.333333333333336"/>
    <n v="18.90251657421188"/>
    <s v="Low"/>
  </r>
  <r>
    <s v="MH037"/>
    <s v="Sutnga-Saipung"/>
    <x v="4"/>
    <x v="0"/>
    <n v="12691"/>
    <n v="76.099999999999994"/>
    <n v="2043"/>
    <n v="41.1"/>
    <n v="839"/>
    <n v="637"/>
    <n v="25388"/>
    <n v="181"/>
    <n v="133"/>
    <n v="73.599999999999994"/>
    <n v="35.4"/>
    <n v="118"/>
    <n v="52.2"/>
    <n v="15"/>
    <n v="1"/>
    <n v="0"/>
    <n v="15"/>
    <n v="17"/>
    <n v="82.6"/>
    <n v="740"/>
    <n v="33.799999999999997"/>
    <n v="157.72999999999999"/>
    <n v="42"/>
    <x v="3"/>
    <n v="40.466666666666669"/>
    <n v="21.55023638799149"/>
    <s v="Low"/>
  </r>
  <r>
    <s v="MH002"/>
    <s v="Pynthorumkhrah"/>
    <x v="3"/>
    <x v="2"/>
    <n v="59696"/>
    <n v="61.8"/>
    <n v="11016"/>
    <n v="18.7"/>
    <n v="2059"/>
    <n v="234"/>
    <n v="5245"/>
    <n v="409"/>
    <n v="300"/>
    <n v="73.400000000000006"/>
    <n v="88.6"/>
    <n v="78.8"/>
    <n v="83.4"/>
    <n v="6"/>
    <n v="1"/>
    <n v="2"/>
    <n v="26"/>
    <n v="22"/>
    <n v="94.4"/>
    <n v="281"/>
    <n v="83.4"/>
    <n v="123.4"/>
    <n v="44.5"/>
    <x v="4"/>
    <n v="85.13333333333334"/>
    <n v="9.3939309166443312"/>
    <s v="Low"/>
  </r>
  <r>
    <s v="MH025"/>
    <s v="Jirang"/>
    <x v="5"/>
    <x v="3"/>
    <n v="17935"/>
    <n v="81.099999999999994"/>
    <n v="3047"/>
    <n v="36.299999999999997"/>
    <n v="1106"/>
    <n v="923"/>
    <n v="47869"/>
    <n v="217"/>
    <n v="145"/>
    <n v="67.099999999999994"/>
    <n v="63.9"/>
    <n v="92.5"/>
    <n v="69.900000000000006"/>
    <n v="9"/>
    <n v="6"/>
    <n v="0"/>
    <n v="49"/>
    <n v="4"/>
    <n v="77.599999999999994"/>
    <n v="381"/>
    <n v="26.2"/>
    <n v="193.95"/>
    <n v="45"/>
    <x v="0"/>
    <n v="53.333333333333336"/>
    <n v="19.484513521048228"/>
    <s v="Low"/>
  </r>
  <r>
    <s v="MH029"/>
    <s v="Jowai"/>
    <x v="0"/>
    <x v="0"/>
    <n v="54304"/>
    <n v="60.6"/>
    <n v="8506"/>
    <n v="23.1"/>
    <n v="1964"/>
    <n v="348"/>
    <n v="8622"/>
    <n v="223"/>
    <n v="142"/>
    <n v="64.099999999999994"/>
    <n v="80.3"/>
    <n v="49.4"/>
    <n v="81.900000000000006"/>
    <n v="8"/>
    <n v="4"/>
    <n v="1"/>
    <n v="9"/>
    <n v="5"/>
    <n v="86.1"/>
    <n v="621"/>
    <n v="70.900000000000006"/>
    <n v="128.53"/>
    <n v="47.8"/>
    <x v="5"/>
    <n v="77.7"/>
    <n v="11.629386417206836"/>
    <s v="Low"/>
  </r>
  <r>
    <s v="MH017"/>
    <s v="Jaiaw"/>
    <x v="3"/>
    <x v="2"/>
    <n v="52000"/>
    <n v="71.400000000000006"/>
    <n v="6159"/>
    <n v="25.2"/>
    <n v="1552"/>
    <n v="247"/>
    <n v="6660"/>
    <n v="139"/>
    <n v="113"/>
    <n v="81.3"/>
    <n v="73.599999999999994"/>
    <n v="65.599999999999994"/>
    <n v="87"/>
    <n v="7"/>
    <n v="3"/>
    <n v="0"/>
    <n v="15"/>
    <n v="11"/>
    <n v="84.5"/>
    <n v="176"/>
    <n v="73.7"/>
    <n v="195.5"/>
    <n v="49.3"/>
    <x v="5"/>
    <n v="78.099999999999994"/>
    <n v="12.66403846153846"/>
    <s v="Low"/>
  </r>
  <r>
    <s v="MH060"/>
    <s v="Mawhati"/>
    <x v="4"/>
    <x v="0"/>
    <n v="32359"/>
    <n v="75.8"/>
    <n v="4528"/>
    <n v="56.7"/>
    <n v="2567"/>
    <n v="1758"/>
    <n v="118557"/>
    <n v="506"/>
    <n v="461"/>
    <n v="91.2"/>
    <n v="26.7"/>
    <n v="235.1"/>
    <n v="29.7"/>
    <n v="16"/>
    <n v="4"/>
    <n v="2"/>
    <n v="41"/>
    <n v="22"/>
    <n v="62.1"/>
    <n v="1024"/>
    <n v="36.299999999999997"/>
    <n v="124.74"/>
    <n v="50.4"/>
    <x v="1"/>
    <n v="30.900000000000002"/>
    <n v="30.181901480268241"/>
    <s v="Low"/>
  </r>
  <r>
    <s v="MH041"/>
    <s v="North Tura"/>
    <x v="6"/>
    <x v="1"/>
    <n v="63978"/>
    <n v="72.400000000000006"/>
    <n v="9366"/>
    <n v="24.6"/>
    <n v="2304"/>
    <n v="548"/>
    <n v="24624"/>
    <n v="425"/>
    <n v="277"/>
    <n v="65.400000000000006"/>
    <n v="65.2"/>
    <n v="73"/>
    <n v="91.8"/>
    <n v="6"/>
    <n v="2"/>
    <n v="2"/>
    <n v="27"/>
    <n v="3"/>
    <n v="82.6"/>
    <n v="468"/>
    <n v="61.3"/>
    <n v="175.54"/>
    <n v="51.1"/>
    <x v="5"/>
    <n v="72.766666666666666"/>
    <n v="12.492441151645879"/>
    <s v="Low"/>
  </r>
  <r>
    <s v="MH028"/>
    <s v="Phulbari"/>
    <x v="5"/>
    <x v="3"/>
    <n v="32314"/>
    <n v="77.400000000000006"/>
    <n v="4309"/>
    <n v="42.5"/>
    <n v="1831"/>
    <n v="1246"/>
    <n v="80044"/>
    <n v="215"/>
    <n v="182"/>
    <n v="85"/>
    <n v="68.5"/>
    <n v="100.8"/>
    <n v="66.8"/>
    <n v="9"/>
    <n v="4"/>
    <n v="2"/>
    <n v="47"/>
    <n v="15"/>
    <n v="66.7"/>
    <n v="1063"/>
    <n v="37.200000000000003"/>
    <n v="139.32"/>
    <n v="53.1"/>
    <x v="3"/>
    <n v="57.5"/>
    <n v="22.488534381382681"/>
    <s v="Low"/>
  </r>
  <r>
    <s v="MH045"/>
    <s v="Dalu"/>
    <x v="6"/>
    <x v="1"/>
    <n v="22988"/>
    <n v="82.6"/>
    <n v="3241"/>
    <n v="35.700000000000003"/>
    <n v="1157"/>
    <n v="922"/>
    <n v="50040"/>
    <n v="223"/>
    <n v="178"/>
    <n v="80.099999999999994"/>
    <n v="41"/>
    <n v="107.6"/>
    <n v="70.400000000000006"/>
    <n v="6"/>
    <n v="2"/>
    <n v="2"/>
    <n v="54"/>
    <n v="15"/>
    <n v="83.1"/>
    <n v="1055"/>
    <n v="18.8"/>
    <n v="176.55"/>
    <n v="55.8"/>
    <x v="1"/>
    <n v="43.4"/>
    <n v="18.938393944666785"/>
    <s v="Low"/>
  </r>
  <r>
    <s v="MH026"/>
    <s v="Umsning"/>
    <x v="5"/>
    <x v="3"/>
    <n v="26517"/>
    <n v="85.4"/>
    <n v="3429"/>
    <n v="49"/>
    <n v="1680"/>
    <n v="1310"/>
    <n v="54642"/>
    <n v="277"/>
    <n v="222"/>
    <n v="80.2"/>
    <n v="28.4"/>
    <n v="276.60000000000002"/>
    <n v="70.400000000000006"/>
    <n v="5"/>
    <n v="5"/>
    <n v="0"/>
    <n v="27"/>
    <n v="21"/>
    <n v="75.599999999999994"/>
    <n v="1048"/>
    <n v="22.1"/>
    <n v="194.98"/>
    <n v="57.8"/>
    <x v="0"/>
    <n v="40.300000000000004"/>
    <n v="25.530320171965155"/>
    <s v="Low"/>
  </r>
  <r>
    <s v="MH046"/>
    <s v="Resubelpara"/>
    <x v="7"/>
    <x v="1"/>
    <n v="15049"/>
    <n v="81.099999999999994"/>
    <n v="2172"/>
    <n v="45.5"/>
    <n v="988"/>
    <n v="787"/>
    <n v="57145"/>
    <n v="94"/>
    <n v="52"/>
    <n v="56"/>
    <n v="23.4"/>
    <n v="292.2"/>
    <n v="52.7"/>
    <n v="9"/>
    <n v="6"/>
    <n v="0"/>
    <n v="48"/>
    <n v="17"/>
    <n v="81.599999999999994"/>
    <n v="339"/>
    <n v="69.099999999999994"/>
    <n v="116.26"/>
    <n v="58.5"/>
    <x v="3"/>
    <n v="48.4"/>
    <n v="24.648631138281612"/>
    <s v="Low"/>
  </r>
  <r>
    <s v="MH051"/>
    <s v="Songsak"/>
    <x v="2"/>
    <x v="1"/>
    <n v="15135"/>
    <n v="77.5"/>
    <n v="2130"/>
    <n v="37.799999999999997"/>
    <n v="805"/>
    <n v="682"/>
    <n v="38343"/>
    <n v="115"/>
    <n v="84"/>
    <n v="73.5"/>
    <n v="27.6"/>
    <n v="248.4"/>
    <n v="65.5"/>
    <n v="8"/>
    <n v="4"/>
    <n v="1"/>
    <n v="22"/>
    <n v="16"/>
    <n v="66.8"/>
    <n v="308"/>
    <n v="41"/>
    <n v="134.41999999999999"/>
    <n v="59"/>
    <x v="3"/>
    <n v="44.699999999999996"/>
    <n v="20.166699702675917"/>
    <s v="Low"/>
  </r>
  <r>
    <s v="MH052"/>
    <s v="Rongjeng"/>
    <x v="2"/>
    <x v="1"/>
    <n v="23265"/>
    <n v="91.1"/>
    <n v="3150"/>
    <n v="30.7"/>
    <n v="967"/>
    <n v="556"/>
    <n v="29064"/>
    <n v="178"/>
    <n v="111"/>
    <n v="62.5"/>
    <n v="29.3"/>
    <n v="94.4"/>
    <n v="70.099999999999994"/>
    <n v="12"/>
    <n v="6"/>
    <n v="0"/>
    <n v="34"/>
    <n v="14"/>
    <n v="80.7"/>
    <n v="1128"/>
    <n v="20.8"/>
    <n v="192.94"/>
    <n v="59.5"/>
    <x v="3"/>
    <n v="40.066666666666663"/>
    <n v="15.974629271437781"/>
    <s v="Low"/>
  </r>
  <r>
    <s v="MH032"/>
    <s v="Mowkaiaw"/>
    <x v="0"/>
    <x v="0"/>
    <n v="24130"/>
    <n v="81.8"/>
    <n v="3599"/>
    <n v="32.6"/>
    <n v="1173"/>
    <n v="930"/>
    <n v="67857"/>
    <n v="107"/>
    <n v="60"/>
    <n v="56.7"/>
    <n v="53.3"/>
    <n v="179.9"/>
    <n v="54.2"/>
    <n v="9"/>
    <n v="5"/>
    <n v="1"/>
    <n v="36"/>
    <n v="17"/>
    <n v="65.7"/>
    <n v="963"/>
    <n v="21.3"/>
    <n v="150.62"/>
    <n v="59.9"/>
    <x v="0"/>
    <n v="42.933333333333337"/>
    <n v="17.706071280563613"/>
    <s v="Low"/>
  </r>
  <r>
    <s v="MH019"/>
    <s v="Nongstoin"/>
    <x v="8"/>
    <x v="2"/>
    <n v="21688"/>
    <n v="80"/>
    <n v="2961"/>
    <n v="40.6"/>
    <n v="1202"/>
    <n v="1000"/>
    <n v="62092"/>
    <n v="248"/>
    <n v="183"/>
    <n v="73.900000000000006"/>
    <n v="38.9"/>
    <n v="211.5"/>
    <n v="28"/>
    <n v="11"/>
    <n v="2"/>
    <n v="1"/>
    <n v="45"/>
    <n v="22"/>
    <n v="75"/>
    <n v="519"/>
    <n v="43.6"/>
    <n v="135.80000000000001"/>
    <n v="60.7"/>
    <x v="0"/>
    <n v="36.833333333333336"/>
    <n v="21.731482847657691"/>
    <s v="High"/>
  </r>
  <r>
    <s v="MH042"/>
    <s v="South Tura"/>
    <x v="6"/>
    <x v="1"/>
    <n v="59004"/>
    <n v="66.3"/>
    <n v="7018"/>
    <n v="13.6"/>
    <n v="954"/>
    <n v="220"/>
    <n v="7808"/>
    <n v="108"/>
    <n v="94"/>
    <n v="87.9"/>
    <n v="66.7"/>
    <n v="62.7"/>
    <n v="76.3"/>
    <n v="5"/>
    <n v="6"/>
    <n v="0"/>
    <n v="37"/>
    <n v="12"/>
    <n v="91.5"/>
    <n v="334"/>
    <n v="80.3"/>
    <n v="98.96"/>
    <n v="60.7"/>
    <x v="5"/>
    <n v="74.433333333333337"/>
    <n v="6.8661650057623209"/>
    <s v="High"/>
  </r>
  <r>
    <s v="MH047"/>
    <s v="Bajengdoba"/>
    <x v="7"/>
    <x v="1"/>
    <n v="27142"/>
    <n v="74.3"/>
    <n v="4322"/>
    <n v="39.700000000000003"/>
    <n v="1715"/>
    <n v="1134"/>
    <n v="82753"/>
    <n v="304"/>
    <n v="213"/>
    <n v="70.400000000000006"/>
    <n v="54.9"/>
    <n v="254.4"/>
    <n v="67"/>
    <n v="5"/>
    <n v="4"/>
    <n v="2"/>
    <n v="34"/>
    <n v="11"/>
    <n v="58.9"/>
    <n v="1586"/>
    <n v="64.2"/>
    <n v="124.46"/>
    <n v="60.8"/>
    <x v="0"/>
    <n v="62.033333333333331"/>
    <n v="21.374445508805543"/>
    <s v="High"/>
  </r>
  <r>
    <s v="MH016"/>
    <s v="Nongmynsong"/>
    <x v="3"/>
    <x v="2"/>
    <n v="16064"/>
    <n v="90.5"/>
    <n v="2264"/>
    <n v="52"/>
    <n v="1177"/>
    <n v="709"/>
    <n v="36507"/>
    <n v="123"/>
    <n v="108"/>
    <n v="88.5"/>
    <n v="65.8"/>
    <n v="178.8"/>
    <n v="57.5"/>
    <n v="9"/>
    <n v="3"/>
    <n v="0"/>
    <n v="52"/>
    <n v="6"/>
    <n v="67.900000000000006"/>
    <n v="389"/>
    <n v="67.599999999999994"/>
    <n v="84.65"/>
    <n v="62.6"/>
    <x v="3"/>
    <n v="63.633333333333326"/>
    <n v="27.136298555776893"/>
    <s v="High"/>
  </r>
  <r>
    <s v="MH057"/>
    <s v="Chokpot"/>
    <x v="9"/>
    <x v="1"/>
    <n v="24272"/>
    <n v="72.400000000000006"/>
    <n v="4051"/>
    <n v="46.5"/>
    <n v="1883"/>
    <n v="1505"/>
    <n v="108045"/>
    <n v="173"/>
    <n v="146"/>
    <n v="84.7"/>
    <n v="35.6"/>
    <n v="221.3"/>
    <n v="51.1"/>
    <n v="14"/>
    <n v="3"/>
    <n v="2"/>
    <n v="29"/>
    <n v="10"/>
    <n v="66.7"/>
    <n v="606"/>
    <n v="45.5"/>
    <n v="100.18"/>
    <n v="65.2"/>
    <x v="3"/>
    <n v="44.066666666666663"/>
    <n v="25.475712755438366"/>
    <s v="High"/>
  </r>
  <r>
    <s v="MH036"/>
    <s v="Khliehriat"/>
    <x v="4"/>
    <x v="0"/>
    <n v="21921"/>
    <n v="78.400000000000006"/>
    <n v="3233"/>
    <n v="40.299999999999997"/>
    <n v="1302"/>
    <n v="909"/>
    <n v="55906"/>
    <n v="177"/>
    <n v="142"/>
    <n v="80.7"/>
    <n v="24.1"/>
    <n v="101.1"/>
    <n v="39.1"/>
    <n v="5"/>
    <n v="4"/>
    <n v="2"/>
    <n v="8"/>
    <n v="20"/>
    <n v="70"/>
    <n v="911"/>
    <n v="44.9"/>
    <n v="86.5"/>
    <n v="65.7"/>
    <x v="2"/>
    <n v="36.033333333333331"/>
    <n v="21.425169928379177"/>
    <s v="High"/>
  </r>
  <r>
    <s v="MH007"/>
    <s v="Shillong South"/>
    <x v="3"/>
    <x v="2"/>
    <n v="53243"/>
    <n v="64.8"/>
    <n v="8378"/>
    <n v="31.7"/>
    <n v="2655"/>
    <n v="586"/>
    <n v="15227"/>
    <n v="301"/>
    <n v="215"/>
    <n v="71.7"/>
    <n v="64.599999999999994"/>
    <n v="78.900000000000006"/>
    <n v="90.4"/>
    <n v="7"/>
    <n v="2"/>
    <n v="0"/>
    <n v="50"/>
    <n v="18"/>
    <n v="95.3"/>
    <n v="574"/>
    <n v="96.5"/>
    <n v="99.82"/>
    <n v="66.3"/>
    <x v="5"/>
    <n v="83.833333333333329"/>
    <n v="15.992995323328888"/>
    <s v="High"/>
  </r>
  <r>
    <s v="MH004"/>
    <s v="Shillong East"/>
    <x v="3"/>
    <x v="2"/>
    <n v="53252"/>
    <n v="71.900000000000006"/>
    <n v="6493"/>
    <n v="12.6"/>
    <n v="818"/>
    <n v="120"/>
    <n v="3203"/>
    <n v="89"/>
    <n v="79"/>
    <n v="89.3"/>
    <n v="90.9"/>
    <n v="53.9"/>
    <n v="86.4"/>
    <n v="6"/>
    <n v="6"/>
    <n v="1"/>
    <n v="17"/>
    <n v="11"/>
    <n v="84"/>
    <n v="517"/>
    <n v="73.400000000000006"/>
    <n v="169.4"/>
    <n v="67"/>
    <x v="5"/>
    <n v="83.566666666666677"/>
    <n v="6.3300739878314429"/>
    <s v="High"/>
  </r>
  <r>
    <s v="MH015"/>
    <s v="Shillong Cantonment"/>
    <x v="3"/>
    <x v="2"/>
    <n v="60028"/>
    <n v="66.2"/>
    <n v="11211"/>
    <n v="25.8"/>
    <n v="2892"/>
    <n v="353"/>
    <n v="7377"/>
    <n v="380"/>
    <n v="269"/>
    <n v="71"/>
    <n v="76.2"/>
    <n v="37.5"/>
    <n v="79.099999999999994"/>
    <n v="3"/>
    <n v="3"/>
    <n v="0"/>
    <n v="51"/>
    <n v="10"/>
    <n v="91.3"/>
    <n v="1008"/>
    <n v="96.9"/>
    <n v="122.44"/>
    <n v="68.400000000000006"/>
    <x v="5"/>
    <n v="84.066666666666663"/>
    <n v="12.961446325048311"/>
    <s v="High"/>
  </r>
  <r>
    <s v="MH056"/>
    <s v="Baghmara"/>
    <x v="9"/>
    <x v="1"/>
    <n v="19372"/>
    <n v="77.8"/>
    <n v="3170"/>
    <n v="40.9"/>
    <n v="1296"/>
    <n v="763"/>
    <n v="42959"/>
    <n v="145"/>
    <n v="103"/>
    <n v="71.3"/>
    <n v="59.4"/>
    <n v="165"/>
    <n v="45.5"/>
    <n v="3"/>
    <n v="4"/>
    <n v="0"/>
    <n v="37"/>
    <n v="5"/>
    <n v="80.400000000000006"/>
    <n v="965"/>
    <n v="40.6"/>
    <n v="149.09"/>
    <n v="69.3"/>
    <x v="0"/>
    <n v="48.5"/>
    <n v="21.55879103861243"/>
    <s v="High"/>
  </r>
  <r>
    <s v="MH038"/>
    <s v="Laskein"/>
    <x v="4"/>
    <x v="0"/>
    <n v="24614"/>
    <n v="88.7"/>
    <n v="2849"/>
    <n v="44.5"/>
    <n v="1267"/>
    <n v="842"/>
    <n v="60518"/>
    <n v="191"/>
    <n v="164"/>
    <n v="86.3"/>
    <n v="70.400000000000006"/>
    <n v="146.30000000000001"/>
    <n v="62.8"/>
    <n v="15"/>
    <n v="3"/>
    <n v="2"/>
    <n v="25"/>
    <n v="3"/>
    <n v="65.400000000000006"/>
    <n v="1081"/>
    <n v="44.4"/>
    <n v="115.83"/>
    <n v="70.2"/>
    <x v="0"/>
    <n v="59.199999999999996"/>
    <n v="23.479341025432682"/>
    <s v="High"/>
  </r>
  <r>
    <s v="MH034"/>
    <s v="Nartiang"/>
    <x v="0"/>
    <x v="0"/>
    <n v="14760"/>
    <n v="82.9"/>
    <n v="2294"/>
    <n v="52.8"/>
    <n v="1211"/>
    <n v="691"/>
    <n v="28771"/>
    <n v="149"/>
    <n v="119"/>
    <n v="80.2"/>
    <n v="53.9"/>
    <n v="149.30000000000001"/>
    <n v="33.5"/>
    <n v="11"/>
    <n v="6"/>
    <n v="1"/>
    <n v="25"/>
    <n v="19"/>
    <n v="72"/>
    <n v="805"/>
    <n v="57.7"/>
    <n v="132.53"/>
    <n v="70.900000000000006"/>
    <x v="1"/>
    <n v="48.366666666666667"/>
    <n v="27.374627371273711"/>
    <s v="High"/>
  </r>
  <r>
    <s v="MH033"/>
    <s v="Amlarem"/>
    <x v="0"/>
    <x v="0"/>
    <n v="17808"/>
    <n v="84.5"/>
    <n v="2417"/>
    <n v="35.200000000000003"/>
    <n v="850"/>
    <n v="608"/>
    <n v="25086"/>
    <n v="116"/>
    <n v="89"/>
    <n v="77.400000000000006"/>
    <n v="48.3"/>
    <n v="87.8"/>
    <n v="40.700000000000003"/>
    <n v="11"/>
    <n v="6"/>
    <n v="1"/>
    <n v="12"/>
    <n v="10"/>
    <n v="82"/>
    <n v="705"/>
    <n v="68.400000000000006"/>
    <n v="174.54"/>
    <n v="72.599999999999994"/>
    <x v="2"/>
    <n v="52.466666666666669"/>
    <n v="18.304346361185985"/>
    <s v="High"/>
  </r>
  <r>
    <s v="MH058"/>
    <s v="Phulbari (SGH)"/>
    <x v="9"/>
    <x v="1"/>
    <n v="22504"/>
    <n v="86.5"/>
    <n v="3243"/>
    <n v="35.1"/>
    <n v="1138"/>
    <n v="675"/>
    <n v="28951"/>
    <n v="187"/>
    <n v="150"/>
    <n v="80.7"/>
    <n v="58.7"/>
    <n v="122.5"/>
    <n v="62"/>
    <n v="17"/>
    <n v="4"/>
    <n v="2"/>
    <n v="45"/>
    <n v="17"/>
    <n v="75.7"/>
    <n v="1220"/>
    <n v="35.5"/>
    <n v="185.85"/>
    <n v="73.8"/>
    <x v="3"/>
    <n v="52.066666666666663"/>
    <n v="18.193241201564167"/>
    <s v="High"/>
  </r>
  <r>
    <s v="MH012"/>
    <s v="Sohiong"/>
    <x v="3"/>
    <x v="2"/>
    <n v="17089"/>
    <n v="73.400000000000006"/>
    <n v="3169"/>
    <n v="40.1"/>
    <n v="1270"/>
    <n v="1057"/>
    <n v="61080"/>
    <n v="204"/>
    <n v="95"/>
    <n v="46.9"/>
    <n v="26.6"/>
    <n v="237.8"/>
    <n v="52.9"/>
    <n v="12"/>
    <n v="3"/>
    <n v="0"/>
    <n v="50"/>
    <n v="13"/>
    <n v="64.2"/>
    <n v="627"/>
    <n v="35.1"/>
    <n v="127.49"/>
    <n v="75.7"/>
    <x v="0"/>
    <n v="38.199999999999996"/>
    <n v="21.837114518111065"/>
    <s v="High"/>
  </r>
  <r>
    <s v="MH020"/>
    <s v="Ranikor"/>
    <x v="8"/>
    <x v="2"/>
    <n v="32589"/>
    <n v="73.7"/>
    <n v="4876"/>
    <n v="38.1"/>
    <n v="1857"/>
    <n v="1477"/>
    <n v="96072"/>
    <n v="323"/>
    <n v="179"/>
    <n v="55.6"/>
    <n v="33.200000000000003"/>
    <n v="85.9"/>
    <n v="38.799999999999997"/>
    <n v="17"/>
    <n v="5"/>
    <n v="0"/>
    <n v="37"/>
    <n v="16"/>
    <n v="81"/>
    <n v="1071"/>
    <n v="39.6"/>
    <n v="149.08000000000001"/>
    <n v="78.7"/>
    <x v="0"/>
    <n v="37.200000000000003"/>
    <n v="20.523994292552704"/>
    <s v="High"/>
  </r>
  <r>
    <s v="MH005"/>
    <s v="Shillong West"/>
    <x v="3"/>
    <x v="2"/>
    <n v="58175"/>
    <n v="62.2"/>
    <n v="6467"/>
    <n v="21.9"/>
    <n v="1416"/>
    <n v="302"/>
    <n v="12541"/>
    <n v="143"/>
    <n v="75"/>
    <n v="52.5"/>
    <n v="84.5"/>
    <n v="70.8"/>
    <n v="79.599999999999994"/>
    <n v="7"/>
    <n v="4"/>
    <n v="2"/>
    <n v="24"/>
    <n v="20"/>
    <n v="94.1"/>
    <n v="482"/>
    <n v="78.099999999999994"/>
    <n v="81.38"/>
    <n v="78.8"/>
    <x v="4"/>
    <n v="80.733333333333334"/>
    <n v="11.057786850021486"/>
    <s v="High"/>
  </r>
  <r>
    <s v="MH049"/>
    <s v="Williamnagar"/>
    <x v="2"/>
    <x v="1"/>
    <n v="21766"/>
    <n v="87.5"/>
    <n v="2970"/>
    <n v="36.299999999999997"/>
    <n v="1078"/>
    <n v="911"/>
    <n v="67870"/>
    <n v="167"/>
    <n v="137"/>
    <n v="82.5"/>
    <n v="28.2"/>
    <n v="287.89999999999998"/>
    <n v="33.799999999999997"/>
    <n v="13"/>
    <n v="2"/>
    <n v="2"/>
    <n v="28"/>
    <n v="3"/>
    <n v="62.5"/>
    <n v="762"/>
    <n v="58.3"/>
    <n v="86.29"/>
    <n v="80.2"/>
    <x v="2"/>
    <n v="40.1"/>
    <n v="19.709082973444822"/>
    <s v="High"/>
  </r>
  <r>
    <s v="MH044"/>
    <s v="Selsella"/>
    <x v="6"/>
    <x v="1"/>
    <n v="30892"/>
    <n v="88"/>
    <n v="4423"/>
    <n v="35.5"/>
    <n v="1570"/>
    <n v="1219"/>
    <n v="80086"/>
    <n v="275"/>
    <n v="141"/>
    <n v="51.4"/>
    <n v="27.4"/>
    <n v="230.6"/>
    <n v="29.7"/>
    <n v="16"/>
    <n v="1"/>
    <n v="2"/>
    <n v="31"/>
    <n v="7"/>
    <n v="60.3"/>
    <n v="732"/>
    <n v="25.1"/>
    <n v="115.41"/>
    <n v="80.599999999999994"/>
    <x v="1"/>
    <n v="27.399999999999995"/>
    <n v="19.046225560015539"/>
    <s v="High"/>
  </r>
  <r>
    <s v="MH030"/>
    <s v="Raliang"/>
    <x v="0"/>
    <x v="0"/>
    <n v="28397"/>
    <n v="78.900000000000006"/>
    <n v="3607"/>
    <n v="38.6"/>
    <n v="1392"/>
    <n v="955"/>
    <n v="45137"/>
    <n v="156"/>
    <n v="123"/>
    <n v="78.900000000000006"/>
    <n v="39.700000000000003"/>
    <n v="258.3"/>
    <n v="69.8"/>
    <n v="7"/>
    <n v="2"/>
    <n v="0"/>
    <n v="55"/>
    <n v="18"/>
    <n v="65.2"/>
    <n v="992"/>
    <n v="70.900000000000006"/>
    <n v="150.75"/>
    <n v="81.400000000000006"/>
    <x v="0"/>
    <n v="60.133333333333326"/>
    <n v="20.094749445363949"/>
    <s v="High"/>
  </r>
  <r>
    <s v="MH059"/>
    <s v="Kharkutta"/>
    <x v="7"/>
    <x v="1"/>
    <n v="15946"/>
    <n v="80.8"/>
    <n v="2419"/>
    <n v="51.9"/>
    <n v="1255"/>
    <n v="912"/>
    <n v="44758"/>
    <n v="113"/>
    <n v="75"/>
    <n v="66.7"/>
    <n v="24.1"/>
    <n v="168.5"/>
    <n v="40.6"/>
    <n v="4"/>
    <n v="5"/>
    <n v="2"/>
    <n v="40"/>
    <n v="15"/>
    <n v="70"/>
    <n v="853"/>
    <n v="42.3"/>
    <n v="146.52000000000001"/>
    <n v="83.5"/>
    <x v="1"/>
    <n v="35.666666666666664"/>
    <n v="27.353424056189638"/>
    <s v="High"/>
  </r>
  <r>
    <s v="MH009"/>
    <s v="Mawphlang"/>
    <x v="3"/>
    <x v="2"/>
    <n v="26906"/>
    <n v="76.3"/>
    <n v="4976"/>
    <n v="45.1"/>
    <n v="2244"/>
    <n v="1552"/>
    <n v="103029"/>
    <n v="433"/>
    <n v="233"/>
    <n v="53.9"/>
    <n v="27.4"/>
    <n v="183.5"/>
    <n v="46.6"/>
    <n v="16"/>
    <n v="6"/>
    <n v="0"/>
    <n v="51"/>
    <n v="6"/>
    <n v="59.6"/>
    <n v="738"/>
    <n v="28.3"/>
    <n v="167.39"/>
    <n v="84"/>
    <x v="1"/>
    <n v="34.1"/>
    <n v="24.464610124135881"/>
    <s v="High"/>
  </r>
  <r>
    <s v="MH035"/>
    <s v="Mynso"/>
    <x v="4"/>
    <x v="0"/>
    <n v="19204"/>
    <n v="72.5"/>
    <n v="3191"/>
    <n v="53.8"/>
    <n v="1716"/>
    <n v="1246"/>
    <n v="44643"/>
    <n v="321"/>
    <n v="268"/>
    <n v="83.6"/>
    <n v="54.3"/>
    <n v="263.10000000000002"/>
    <n v="35.700000000000003"/>
    <n v="18"/>
    <n v="6"/>
    <n v="1"/>
    <n v="25"/>
    <n v="8"/>
    <n v="83.9"/>
    <n v="1186"/>
    <n v="43.4"/>
    <n v="132.31"/>
    <n v="84.9"/>
    <x v="2"/>
    <n v="44.466666666666661"/>
    <n v="28.062335971672567"/>
    <s v="High"/>
  </r>
  <r>
    <s v="MH039"/>
    <s v="Tura"/>
    <x v="6"/>
    <x v="1"/>
    <n v="61264"/>
    <n v="65.8"/>
    <n v="9445"/>
    <n v="22.9"/>
    <n v="2162"/>
    <n v="363"/>
    <n v="10180"/>
    <n v="230"/>
    <n v="178"/>
    <n v="77.8"/>
    <n v="80.900000000000006"/>
    <n v="49"/>
    <n v="89.4"/>
    <n v="3"/>
    <n v="3"/>
    <n v="2"/>
    <n v="38"/>
    <n v="15"/>
    <n v="87.4"/>
    <n v="930"/>
    <n v="76.3"/>
    <n v="159.63999999999999"/>
    <n v="85.3"/>
    <x v="5"/>
    <n v="82.2"/>
    <n v="11.533083050404805"/>
    <s v="High"/>
  </r>
  <r>
    <s v="MH027"/>
    <s v="Umroi"/>
    <x v="5"/>
    <x v="3"/>
    <n v="14339"/>
    <n v="85.9"/>
    <n v="2332"/>
    <n v="52.2"/>
    <n v="1217"/>
    <n v="960"/>
    <n v="55331"/>
    <n v="104"/>
    <n v="72"/>
    <n v="70"/>
    <n v="59"/>
    <n v="96.5"/>
    <n v="56.5"/>
    <n v="2"/>
    <n v="4"/>
    <n v="1"/>
    <n v="14"/>
    <n v="16"/>
    <n v="83"/>
    <n v="708"/>
    <n v="41.5"/>
    <n v="156.27000000000001"/>
    <n v="85.9"/>
    <x v="1"/>
    <n v="52.333333333333336"/>
    <n v="28.029388381337611"/>
    <s v="High"/>
  </r>
  <r>
    <s v="MH048"/>
    <s v="Mendipathar"/>
    <x v="7"/>
    <x v="1"/>
    <n v="33468"/>
    <n v="79.3"/>
    <n v="4488"/>
    <n v="29.8"/>
    <n v="1337"/>
    <n v="846"/>
    <n v="62374"/>
    <n v="284"/>
    <n v="237"/>
    <n v="83.7"/>
    <n v="27.1"/>
    <n v="130.9"/>
    <n v="56.1"/>
    <n v="2"/>
    <n v="1"/>
    <n v="1"/>
    <n v="23"/>
    <n v="7"/>
    <n v="78.5"/>
    <n v="1185"/>
    <n v="49.7"/>
    <n v="104.62"/>
    <n v="85.9"/>
    <x v="0"/>
    <n v="44.300000000000004"/>
    <n v="15.831845344806981"/>
    <s v="High"/>
  </r>
  <r>
    <s v="MH053"/>
    <s v="Ampati"/>
    <x v="1"/>
    <x v="1"/>
    <n v="30674"/>
    <n v="78.2"/>
    <n v="5065"/>
    <n v="32.6"/>
    <n v="1651"/>
    <n v="1146"/>
    <n v="78949"/>
    <n v="213"/>
    <n v="151"/>
    <n v="71.099999999999994"/>
    <n v="28.4"/>
    <n v="146.9"/>
    <n v="38"/>
    <n v="15"/>
    <n v="5"/>
    <n v="2"/>
    <n v="47"/>
    <n v="20"/>
    <n v="58.7"/>
    <n v="960"/>
    <n v="27.7"/>
    <n v="191.49"/>
    <n v="85.9"/>
    <x v="3"/>
    <n v="31.366666666666664"/>
    <n v="17.586904218556434"/>
    <s v="High"/>
  </r>
  <r>
    <s v="MH043"/>
    <s v="Rajabala"/>
    <x v="6"/>
    <x v="1"/>
    <n v="24903"/>
    <n v="85.8"/>
    <n v="3424"/>
    <n v="58"/>
    <n v="1985"/>
    <n v="1599"/>
    <n v="62786"/>
    <n v="264"/>
    <n v="163"/>
    <n v="61.9"/>
    <n v="38.6"/>
    <n v="247.8"/>
    <n v="29"/>
    <n v="14"/>
    <n v="3"/>
    <n v="0"/>
    <n v="44"/>
    <n v="4"/>
    <n v="81.7"/>
    <n v="1214"/>
    <n v="59.9"/>
    <n v="169.42"/>
    <n v="86.1"/>
    <x v="0"/>
    <n v="42.5"/>
    <n v="30.260611171344816"/>
    <s v="High"/>
  </r>
  <r>
    <s v="MH011"/>
    <s v="Nongkrem"/>
    <x v="3"/>
    <x v="2"/>
    <n v="19690"/>
    <n v="90.5"/>
    <n v="2439"/>
    <n v="48.9"/>
    <n v="1192"/>
    <n v="916"/>
    <n v="60762"/>
    <n v="205"/>
    <n v="139"/>
    <n v="67.900000000000006"/>
    <n v="32.6"/>
    <n v="132.19999999999999"/>
    <n v="30.6"/>
    <n v="3"/>
    <n v="6"/>
    <n v="1"/>
    <n v="11"/>
    <n v="4"/>
    <n v="73.2"/>
    <n v="392"/>
    <n v="69.900000000000006"/>
    <n v="140.34"/>
    <n v="87.4"/>
    <x v="0"/>
    <n v="44.366666666666667"/>
    <n v="25.992965972574911"/>
    <s v="High"/>
  </r>
  <r>
    <s v="MH040"/>
    <s v="Dadenggre"/>
    <x v="6"/>
    <x v="1"/>
    <n v="15136"/>
    <n v="82"/>
    <n v="2368"/>
    <n v="54.2"/>
    <n v="1283"/>
    <n v="875"/>
    <n v="49033"/>
    <n v="184"/>
    <n v="145"/>
    <n v="79"/>
    <n v="45"/>
    <n v="237.1"/>
    <n v="34.799999999999997"/>
    <n v="17"/>
    <n v="3"/>
    <n v="1"/>
    <n v="47"/>
    <n v="15"/>
    <n v="74.900000000000006"/>
    <n v="813"/>
    <n v="38.5"/>
    <n v="182.21"/>
    <n v="87.4"/>
    <x v="3"/>
    <n v="39.43333333333333"/>
    <n v="28.719747621564483"/>
    <s v="High"/>
  </r>
  <r>
    <s v="MH008"/>
    <s v="East Shillong"/>
    <x v="3"/>
    <x v="2"/>
    <n v="45182"/>
    <n v="69.3"/>
    <n v="7093"/>
    <n v="19.5"/>
    <n v="1383"/>
    <n v="324"/>
    <n v="10137"/>
    <n v="158"/>
    <n v="75"/>
    <n v="48"/>
    <n v="62.7"/>
    <n v="68.2"/>
    <n v="84.7"/>
    <n v="3"/>
    <n v="1"/>
    <n v="2"/>
    <n v="48"/>
    <n v="4"/>
    <n v="85.2"/>
    <n v="182"/>
    <n v="65.2"/>
    <n v="188.65"/>
    <n v="87.9"/>
    <x v="5"/>
    <n v="70.866666666666674"/>
    <n v="9.8621796290558184"/>
    <s v="High"/>
  </r>
  <r>
    <s v="MH024"/>
    <s v="Nongpoh"/>
    <x v="5"/>
    <x v="3"/>
    <n v="30767"/>
    <n v="90"/>
    <n v="4148"/>
    <n v="42.6"/>
    <n v="1767"/>
    <n v="1177"/>
    <n v="72685"/>
    <n v="338"/>
    <n v="267"/>
    <n v="79"/>
    <n v="69.099999999999994"/>
    <n v="300.7"/>
    <n v="71.2"/>
    <n v="2"/>
    <n v="4"/>
    <n v="2"/>
    <n v="44"/>
    <n v="3"/>
    <n v="60.2"/>
    <n v="693"/>
    <n v="32"/>
    <n v="131.43"/>
    <n v="88.3"/>
    <x v="3"/>
    <n v="57.433333333333337"/>
    <n v="22.481216888224395"/>
    <s v="High"/>
  </r>
  <r>
    <s v="MH022"/>
    <s v="Mawshynrut"/>
    <x v="8"/>
    <x v="2"/>
    <n v="24983"/>
    <n v="88.6"/>
    <n v="3990"/>
    <n v="50.3"/>
    <n v="2006"/>
    <n v="1388"/>
    <n v="62970"/>
    <n v="229"/>
    <n v="171"/>
    <n v="75"/>
    <n v="64.900000000000006"/>
    <n v="205.1"/>
    <n v="55.6"/>
    <n v="10"/>
    <n v="4"/>
    <n v="0"/>
    <n v="53"/>
    <n v="12"/>
    <n v="64.099999999999994"/>
    <n v="562"/>
    <n v="26.1"/>
    <n v="120.3"/>
    <n v="90"/>
    <x v="2"/>
    <n v="48.866666666666674"/>
    <n v="26.410256974742822"/>
    <s v="High"/>
  </r>
  <r>
    <s v="MH010"/>
    <s v="Mawryngkneng"/>
    <x v="3"/>
    <x v="2"/>
    <n v="25700"/>
    <n v="74.8"/>
    <n v="4070"/>
    <n v="54.2"/>
    <n v="2205"/>
    <n v="1262"/>
    <n v="84958"/>
    <n v="440"/>
    <n v="218"/>
    <n v="49.6"/>
    <n v="58.5"/>
    <n v="209.7"/>
    <n v="28.6"/>
    <n v="4"/>
    <n v="2"/>
    <n v="0"/>
    <n v="34"/>
    <n v="18"/>
    <n v="70.5"/>
    <n v="662"/>
    <n v="18.100000000000001"/>
    <n v="183.76"/>
    <n v="90.7"/>
    <x v="2"/>
    <n v="35.06666666666667"/>
    <n v="28.75287937743191"/>
    <s v="High"/>
  </r>
  <r>
    <s v="MH013"/>
    <s v="Pynursla"/>
    <x v="3"/>
    <x v="2"/>
    <n v="11305"/>
    <n v="81.2"/>
    <n v="1629"/>
    <n v="30.2"/>
    <n v="491"/>
    <n v="301"/>
    <n v="13728"/>
    <n v="103"/>
    <n v="88"/>
    <n v="86.4"/>
    <n v="71.2"/>
    <n v="168.7"/>
    <n v="34.9"/>
    <n v="11"/>
    <n v="5"/>
    <n v="2"/>
    <n v="41"/>
    <n v="3"/>
    <n v="75.400000000000006"/>
    <n v="239"/>
    <n v="65.400000000000006"/>
    <n v="146.55000000000001"/>
    <n v="92.6"/>
    <x v="3"/>
    <n v="57.166666666666664"/>
    <n v="15.707164971251657"/>
    <s v="High"/>
  </r>
  <r>
    <s v="MH021"/>
    <s v="Mairang"/>
    <x v="8"/>
    <x v="2"/>
    <n v="32497"/>
    <n v="85.8"/>
    <n v="4646"/>
    <n v="54.6"/>
    <n v="2536"/>
    <n v="1987"/>
    <n v="86938"/>
    <n v="488"/>
    <n v="379"/>
    <n v="77.7"/>
    <n v="48"/>
    <n v="213.8"/>
    <n v="68.400000000000006"/>
    <n v="5"/>
    <n v="4"/>
    <n v="0"/>
    <n v="37"/>
    <n v="19"/>
    <n v="83.7"/>
    <n v="1634"/>
    <n v="51.1"/>
    <n v="151.44999999999999"/>
    <n v="93.8"/>
    <x v="1"/>
    <n v="55.833333333333336"/>
    <n v="28.637631165953781"/>
    <s v="High"/>
  </r>
  <r>
    <s v="MH006"/>
    <s v="Shillong North"/>
    <x v="3"/>
    <x v="2"/>
    <n v="54293"/>
    <n v="57.2"/>
    <n v="7890"/>
    <n v="31.1"/>
    <n v="2453"/>
    <n v="567"/>
    <n v="15073"/>
    <n v="368"/>
    <n v="196"/>
    <n v="53.4"/>
    <n v="92.1"/>
    <n v="87.2"/>
    <n v="77.5"/>
    <n v="8"/>
    <n v="5"/>
    <n v="2"/>
    <n v="20"/>
    <n v="7"/>
    <n v="87.2"/>
    <n v="740"/>
    <n v="94.5"/>
    <n v="99.39"/>
    <n v="94"/>
    <x v="5"/>
    <n v="88.033333333333346"/>
    <n v="15.688811633175549"/>
    <s v="High"/>
  </r>
  <r>
    <s v="MH023"/>
    <s v="Rambrai-Jyrngam"/>
    <x v="8"/>
    <x v="2"/>
    <n v="33739"/>
    <n v="75.099999999999994"/>
    <n v="5209"/>
    <n v="37.9"/>
    <n v="1974"/>
    <n v="1361"/>
    <n v="51024"/>
    <n v="388"/>
    <n v="245"/>
    <n v="63.3"/>
    <n v="65.099999999999994"/>
    <n v="307.10000000000002"/>
    <n v="28.9"/>
    <n v="14"/>
    <n v="4"/>
    <n v="0"/>
    <n v="30"/>
    <n v="12"/>
    <n v="77.599999999999994"/>
    <n v="1192"/>
    <n v="58.4"/>
    <n v="182.41"/>
    <n v="94"/>
    <x v="1"/>
    <n v="50.79999999999999"/>
    <n v="19.706157562464803"/>
    <s v="High"/>
  </r>
  <r>
    <s v="MH003"/>
    <s v="Nongthymmai"/>
    <x v="3"/>
    <x v="2"/>
    <n v="37229"/>
    <n v="72.099999999999994"/>
    <n v="4649"/>
    <n v="21.1"/>
    <n v="980"/>
    <n v="220"/>
    <n v="5294"/>
    <n v="127"/>
    <n v="97"/>
    <n v="76.5"/>
    <n v="85.2"/>
    <n v="76"/>
    <n v="71.8"/>
    <n v="8"/>
    <n v="2"/>
    <n v="2"/>
    <n v="54"/>
    <n v="10"/>
    <n v="84.3"/>
    <n v="331"/>
    <n v="78.900000000000006"/>
    <n v="125.53"/>
    <n v="96.3"/>
    <x v="5"/>
    <n v="78.633333333333326"/>
    <n v="10.621100486180129"/>
    <s v="Hig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6996DE1-F797-4A06-935F-ADCE40963016}" name="Fun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2">
  <location ref="A16:B26" firstHeaderRow="1" firstDataRow="1" firstDataCol="1"/>
  <pivotFields count="31">
    <pivotField compact="0" outline="0" showAll="0"/>
    <pivotField compact="0" outline="0" showAll="0"/>
    <pivotField axis="axisRow" compact="0" outline="0" showAll="0" sortType="ascending">
      <items count="11">
        <item x="8"/>
        <item x="0"/>
        <item x="6"/>
        <item x="1"/>
        <item x="9"/>
        <item x="5"/>
        <item x="7"/>
        <item x="3"/>
        <item x="4"/>
        <item x="2"/>
        <item t="default"/>
      </items>
      <autoSortScope>
        <pivotArea dataOnly="0" outline="0" fieldPosition="0">
          <references count="1">
            <reference field="4294967294" count="1" selected="0">
              <x v="0"/>
            </reference>
          </references>
        </pivotArea>
      </autoSortScope>
    </pivotField>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
        <item x="0"/>
        <item x="3"/>
        <item x="1"/>
        <item x="4"/>
        <item x="2"/>
        <item x="5"/>
        <item t="default"/>
      </items>
    </pivotField>
    <pivotField compact="0" numFmtId="2" outline="0" showAll="0"/>
    <pivotField compact="0" numFmtId="164" outline="0" showAll="0"/>
    <pivotField compact="0" outline="0" showAll="0"/>
  </pivotFields>
  <rowFields count="1">
    <field x="2"/>
  </rowFields>
  <rowItems count="10">
    <i>
      <x v="3"/>
    </i>
    <i>
      <x v="9"/>
    </i>
    <i>
      <x v="1"/>
    </i>
    <i>
      <x v="8"/>
    </i>
    <i>
      <x v="5"/>
    </i>
    <i>
      <x v="4"/>
    </i>
    <i>
      <x v="7"/>
    </i>
    <i>
      <x v="6"/>
    </i>
    <i>
      <x v="2"/>
    </i>
    <i>
      <x/>
    </i>
  </rowItems>
  <colItems count="1">
    <i/>
  </colItems>
  <dataFields count="1">
    <dataField name="Fund Utilisation%" fld="26" subtotal="average" baseField="3" baseItem="1" numFmtId="1"/>
  </dataFields>
  <formats count="11">
    <format dxfId="10">
      <pivotArea type="all" dataOnly="0" outline="0" fieldPosition="0"/>
    </format>
    <format dxfId="9">
      <pivotArea field="3" type="button" dataOnly="0" labelOnly="1" outline="0"/>
    </format>
    <format dxfId="8">
      <pivotArea dataOnly="0" labelOnly="1" grandRow="1" outline="0" fieldPosition="0"/>
    </format>
    <format dxfId="7">
      <pivotArea outline="0" collapsedLevelsAreSubtotals="1" fieldPosition="0"/>
    </format>
    <format dxfId="6">
      <pivotArea dataOnly="0" labelOnly="1" outline="0" axis="axisValues" fieldPosition="0"/>
    </format>
    <format dxfId="5">
      <pivotArea outline="0" collapsedLevelsAreSubtotals="1" fieldPosition="0"/>
    </format>
    <format dxfId="4">
      <pivotArea type="all" dataOnly="0" outline="0" fieldPosition="0"/>
    </format>
    <format dxfId="3">
      <pivotArea outline="0" collapsedLevelsAreSubtotals="1" fieldPosition="0"/>
    </format>
    <format dxfId="2">
      <pivotArea field="2" type="button" dataOnly="0" labelOnly="1" outline="0" axis="axisRow" fieldPosition="0"/>
    </format>
    <format dxfId="1">
      <pivotArea dataOnly="0" labelOnly="1" outline="0" fieldPosition="0">
        <references count="1">
          <reference field="2" count="0"/>
        </references>
      </pivotArea>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C8BEBA-A9E0-408F-8286-66A65BD17861}" name="Reg_Macro"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76:G81" firstHeaderRow="0" firstDataRow="1" firstDataCol="1"/>
  <pivotFields count="31">
    <pivotField compact="0" outline="0" showAll="0"/>
    <pivotField compact="0" outline="0" showAll="0"/>
    <pivotField compact="0" outline="0" showAll="0">
      <items count="11">
        <item x="2"/>
        <item x="4"/>
        <item x="3"/>
        <item x="7"/>
        <item x="5"/>
        <item x="9"/>
        <item x="1"/>
        <item x="6"/>
        <item x="0"/>
        <item x="8"/>
        <item t="default"/>
      </items>
    </pivotField>
    <pivotField axis="axisRow" compact="0" outline="0" showAll="0">
      <items count="5">
        <item x="1"/>
        <item x="0"/>
        <item x="2"/>
        <item x="3"/>
        <item t="default"/>
      </items>
    </pivotField>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
        <item x="0"/>
        <item x="3"/>
        <item x="1"/>
        <item x="4"/>
        <item x="2"/>
        <item x="5"/>
        <item t="default"/>
      </items>
    </pivotField>
    <pivotField compact="0" numFmtId="2" outline="0" showAll="0"/>
    <pivotField compact="0" numFmtId="164" outline="0" showAll="0"/>
    <pivotField compact="0" outline="0" showAll="0"/>
  </pivotFields>
  <rowFields count="1">
    <field x="3"/>
  </rowFields>
  <rowItems count="5">
    <i>
      <x/>
    </i>
    <i>
      <x v="1"/>
    </i>
    <i>
      <x v="2"/>
    </i>
    <i>
      <x v="3"/>
    </i>
    <i t="grand">
      <x/>
    </i>
  </rowItems>
  <colFields count="1">
    <field x="-2"/>
  </colFields>
  <colItems count="6">
    <i>
      <x/>
    </i>
    <i i="1">
      <x v="1"/>
    </i>
    <i i="2">
      <x v="2"/>
    </i>
    <i i="3">
      <x v="3"/>
    </i>
    <i i="4">
      <x v="4"/>
    </i>
    <i i="5">
      <x v="5"/>
    </i>
  </colItems>
  <dataFields count="6">
    <dataField name="Voter_Turnout_2023_Pct " fld="5" subtotal="average" baseField="0" baseItem="1"/>
    <dataField name="BPL_Households_Pct " fld="7" subtotal="average" baseField="0" baseItem="1"/>
    <dataField name="PM_Awas_Completion_Pct " fld="13" subtotal="average" baseField="0" baseItem="2"/>
    <dataField name="JJM_Functional_Tap_Connections_Pct " fld="14" subtotal="average" baseField="0" baseItem="2"/>
    <dataField name="Pucca_Road_Pct " fld="16" subtotal="average" baseField="0" baseItem="4"/>
    <dataField name="Fund Utilisation%" fld="26" subtotal="average" baseField="3" baseItem="1" numFmtId="1"/>
  </dataFields>
  <formats count="10">
    <format dxfId="20">
      <pivotArea type="all" dataOnly="0" outline="0" fieldPosition="0"/>
    </format>
    <format dxfId="19">
      <pivotArea outline="0" collapsedLevelsAreSubtotals="1" fieldPosition="0"/>
    </format>
    <format dxfId="18">
      <pivotArea dataOnly="0" labelOnly="1" outline="0" axis="axisValues" fieldPosition="0"/>
    </format>
    <format dxfId="17">
      <pivotArea outline="0" collapsedLevelsAreSubtotals="1" fieldPosition="0"/>
    </format>
    <format dxfId="16">
      <pivotArea type="all" dataOnly="0" outline="0" fieldPosition="0"/>
    </format>
    <format dxfId="15">
      <pivotArea outline="0" collapsedLevelsAreSubtotals="1" fieldPosition="0"/>
    </format>
    <format dxfId="14">
      <pivotArea field="3" type="button" dataOnly="0" labelOnly="1" outline="0" axis="axisRow" fieldPosition="0"/>
    </format>
    <format dxfId="13">
      <pivotArea dataOnly="0" labelOnly="1" outline="0" fieldPosition="0">
        <references count="1">
          <reference field="3" count="0"/>
        </references>
      </pivotArea>
    </format>
    <format dxfId="12">
      <pivotArea dataOnly="0" labelOnly="1" grandRow="1" outline="0" fieldPosition="0"/>
    </format>
    <format dxfId="11">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CEF5298-5B2C-4ECC-9E82-CA7AFDD9F469}" name="Voter"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8">
  <location ref="A100:B110" firstHeaderRow="1" firstDataRow="1" firstDataCol="1"/>
  <pivotFields count="31">
    <pivotField compact="0" outline="0" showAll="0"/>
    <pivotField compact="0" outline="0" showAll="0"/>
    <pivotField axis="axisRow" compact="0" outline="0" showAll="0">
      <items count="11">
        <item x="8"/>
        <item x="0"/>
        <item x="6"/>
        <item x="1"/>
        <item x="9"/>
        <item x="5"/>
        <item x="7"/>
        <item x="3"/>
        <item x="4"/>
        <item x="2"/>
        <item t="default"/>
      </items>
    </pivotField>
    <pivotField compact="0" outline="0" showAll="0">
      <items count="5">
        <item x="1"/>
        <item x="0"/>
        <item x="2"/>
        <item x="3"/>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7">
        <item x="0"/>
        <item x="3"/>
        <item x="1"/>
        <item x="4"/>
        <item x="2"/>
        <item x="5"/>
        <item t="default"/>
      </items>
    </pivotField>
    <pivotField compact="0" numFmtId="2" outline="0" showAll="0"/>
    <pivotField compact="0" numFmtId="164" outline="0" showAll="0"/>
    <pivotField compact="0" outline="0" showAll="0"/>
  </pivotFields>
  <rowFields count="1">
    <field x="2"/>
  </rowFields>
  <rowItems count="10">
    <i>
      <x/>
    </i>
    <i>
      <x v="1"/>
    </i>
    <i>
      <x v="2"/>
    </i>
    <i>
      <x v="3"/>
    </i>
    <i>
      <x v="4"/>
    </i>
    <i>
      <x v="5"/>
    </i>
    <i>
      <x v="6"/>
    </i>
    <i>
      <x v="7"/>
    </i>
    <i>
      <x v="8"/>
    </i>
    <i>
      <x v="9"/>
    </i>
  </rowItems>
  <colItems count="1">
    <i/>
  </colItems>
  <dataFields count="1">
    <dataField name="Voter_Turnout_2023_Pct " fld="5" subtotal="average" baseField="2" baseItem="2"/>
  </dataFields>
  <formats count="11">
    <format dxfId="31">
      <pivotArea type="all" dataOnly="0" outline="0" fieldPosition="0"/>
    </format>
    <format dxfId="30">
      <pivotArea field="3" type="button" dataOnly="0" labelOnly="1" outline="0"/>
    </format>
    <format dxfId="29">
      <pivotArea dataOnly="0" labelOnly="1" grandRow="1" outline="0" fieldPosition="0"/>
    </format>
    <format dxfId="28">
      <pivotArea outline="0" collapsedLevelsAreSubtotals="1" fieldPosition="0"/>
    </format>
    <format dxfId="27">
      <pivotArea dataOnly="0" labelOnly="1" outline="0" axis="axisValues" fieldPosition="0"/>
    </format>
    <format dxfId="26">
      <pivotArea outline="0" collapsedLevelsAreSubtotals="1" fieldPosition="0"/>
    </format>
    <format dxfId="25">
      <pivotArea type="all" dataOnly="0" outline="0" fieldPosition="0"/>
    </format>
    <format dxfId="24">
      <pivotArea outline="0" collapsedLevelsAreSubtotals="1" fieldPosition="0"/>
    </format>
    <format dxfId="23">
      <pivotArea field="2" type="button" dataOnly="0" labelOnly="1" outline="0" axis="axisRow" fieldPosition="0"/>
    </format>
    <format dxfId="22">
      <pivotArea dataOnly="0" labelOnly="1" outline="0" fieldPosition="0">
        <references count="1">
          <reference field="2" count="0"/>
        </references>
      </pivotArea>
    </format>
    <format dxfId="21">
      <pivotArea dataOnly="0" labelOnly="1" outline="0" axis="axisValues" fieldPosition="0"/>
    </format>
  </formats>
  <chartFormats count="2">
    <chartFormat chart="16" format="2"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4D9666-6A25-42BE-BA93-2FF33BADE241}" name="Dist_Macro"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44:G55" firstHeaderRow="0" firstDataRow="1" firstDataCol="1"/>
  <pivotFields count="31">
    <pivotField compact="0" outline="0" showAll="0"/>
    <pivotField compact="0" outline="0" showAll="0"/>
    <pivotField axis="axisRow" compact="0" outline="0" showAll="0">
      <items count="11">
        <item x="2"/>
        <item x="4"/>
        <item x="3"/>
        <item x="7"/>
        <item x="5"/>
        <item x="9"/>
        <item x="1"/>
        <item x="6"/>
        <item x="0"/>
        <item x="8"/>
        <item t="default"/>
      </items>
    </pivotField>
    <pivotField compact="0" outline="0" showAll="0">
      <items count="5">
        <item x="1"/>
        <item x="0"/>
        <item x="2"/>
        <item x="3"/>
        <item t="default"/>
      </items>
    </pivotField>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
        <item x="0"/>
        <item x="3"/>
        <item x="1"/>
        <item x="4"/>
        <item x="2"/>
        <item x="5"/>
        <item t="default"/>
      </items>
    </pivotField>
    <pivotField compact="0" numFmtId="2" outline="0" showAll="0"/>
    <pivotField compact="0" numFmtId="164" outline="0" showAll="0"/>
    <pivotField compact="0" outline="0" showAll="0"/>
  </pivotFields>
  <rowFields count="1">
    <field x="2"/>
  </rowFields>
  <rowItems count="11">
    <i>
      <x/>
    </i>
    <i>
      <x v="1"/>
    </i>
    <i>
      <x v="2"/>
    </i>
    <i>
      <x v="3"/>
    </i>
    <i>
      <x v="4"/>
    </i>
    <i>
      <x v="5"/>
    </i>
    <i>
      <x v="6"/>
    </i>
    <i>
      <x v="7"/>
    </i>
    <i>
      <x v="8"/>
    </i>
    <i>
      <x v="9"/>
    </i>
    <i t="grand">
      <x/>
    </i>
  </rowItems>
  <colFields count="1">
    <field x="-2"/>
  </colFields>
  <colItems count="6">
    <i>
      <x/>
    </i>
    <i i="1">
      <x v="1"/>
    </i>
    <i i="2">
      <x v="2"/>
    </i>
    <i i="3">
      <x v="3"/>
    </i>
    <i i="4">
      <x v="4"/>
    </i>
    <i i="5">
      <x v="5"/>
    </i>
  </colItems>
  <dataFields count="6">
    <dataField name="Voter_Turnout_2023_Pct " fld="5" subtotal="average" baseField="0" baseItem="1"/>
    <dataField name="BPL_Households_Pct " fld="7" subtotal="average" baseField="0" baseItem="1"/>
    <dataField name="PM_Awas_Completion_Pct " fld="13" subtotal="average" baseField="0" baseItem="2"/>
    <dataField name="JJM_Functional_Tap_Connections_Pct " fld="14" subtotal="average" baseField="0" baseItem="2"/>
    <dataField name="Pucca_Road_Pct " fld="16" subtotal="average" baseField="0" baseItem="4"/>
    <dataField name="Fund Utilisation%" fld="26" subtotal="average" baseField="3" baseItem="1" numFmtId="1"/>
  </dataFields>
  <formats count="11">
    <format dxfId="42">
      <pivotArea type="all" dataOnly="0" outline="0" fieldPosition="0"/>
    </format>
    <format dxfId="41">
      <pivotArea field="3" type="button" dataOnly="0" labelOnly="1" outline="0"/>
    </format>
    <format dxfId="40">
      <pivotArea outline="0" collapsedLevelsAreSubtotals="1" fieldPosition="0"/>
    </format>
    <format dxfId="39">
      <pivotArea dataOnly="0" labelOnly="1" outline="0" axis="axisValues" fieldPosition="0"/>
    </format>
    <format dxfId="38">
      <pivotArea outline="0" collapsedLevelsAreSubtotals="1" fieldPosition="0"/>
    </format>
    <format dxfId="37">
      <pivotArea type="all" dataOnly="0" outline="0" fieldPosition="0"/>
    </format>
    <format dxfId="36">
      <pivotArea outline="0" collapsedLevelsAreSubtotals="1" fieldPosition="0"/>
    </format>
    <format dxfId="35">
      <pivotArea field="2" type="button" dataOnly="0" labelOnly="1" outline="0" axis="axisRow" fieldPosition="0"/>
    </format>
    <format dxfId="34">
      <pivotArea dataOnly="0" labelOnly="1" outline="0" fieldPosition="0">
        <references count="1">
          <reference field="2" count="0"/>
        </references>
      </pivotArea>
    </format>
    <format dxfId="33">
      <pivotArea dataOnly="0" labelOnly="1" grandRow="1" outline="0" fieldPosition="0"/>
    </format>
    <format dxfId="32">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0E513B7-9BAD-42B4-84BA-ABF9DE9B79BA}" name="P_main"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7:F8" firstHeaderRow="0" firstDataRow="1" firstDataCol="0"/>
  <pivotFields count="31">
    <pivotField compact="0" outline="0" showAll="0"/>
    <pivotField compact="0" outline="0" showAll="0"/>
    <pivotField compact="0" outline="0" showAll="0">
      <items count="11">
        <item x="2"/>
        <item x="4"/>
        <item x="3"/>
        <item x="7"/>
        <item x="5"/>
        <item x="9"/>
        <item x="1"/>
        <item x="6"/>
        <item x="0"/>
        <item x="8"/>
        <item t="default"/>
      </items>
    </pivotField>
    <pivotField compact="0" outline="0" showAll="0">
      <items count="5">
        <item x="1"/>
        <item x="0"/>
        <item x="2"/>
        <item x="3"/>
        <item t="default"/>
      </items>
    </pivotField>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
        <item x="0"/>
        <item x="3"/>
        <item x="1"/>
        <item x="4"/>
        <item x="2"/>
        <item x="5"/>
        <item t="default"/>
      </items>
    </pivotField>
    <pivotField compact="0" numFmtId="2" outline="0" showAll="0"/>
    <pivotField compact="0" numFmtId="164" outline="0" showAll="0"/>
    <pivotField compact="0" outline="0" showAll="0"/>
  </pivotFields>
  <rowItems count="1">
    <i/>
  </rowItems>
  <colFields count="1">
    <field x="-2"/>
  </colFields>
  <colItems count="6">
    <i>
      <x/>
    </i>
    <i i="1">
      <x v="1"/>
    </i>
    <i i="2">
      <x v="2"/>
    </i>
    <i i="3">
      <x v="3"/>
    </i>
    <i i="4">
      <x v="4"/>
    </i>
    <i i="5">
      <x v="5"/>
    </i>
  </colItems>
  <dataFields count="6">
    <dataField name="Voter_Turnout_2023_Pct " fld="5" subtotal="average" baseField="0" baseItem="1"/>
    <dataField name="BPL_Households_Pct " fld="7" subtotal="average" baseField="0" baseItem="1"/>
    <dataField name="PM_Awas_Completion_Pct " fld="13" subtotal="average" baseField="0" baseItem="2"/>
    <dataField name="JJM_Functional_Tap_Connections_Pct " fld="14" subtotal="average" baseField="0" baseItem="2"/>
    <dataField name="Pucca_Road_Pct " fld="16" subtotal="average" baseField="0" baseItem="4"/>
    <dataField name="Fund Utilisation%" fld="26" subtotal="average" baseField="3" baseItem="1" numFmtId="1"/>
  </dataFields>
  <formats count="9">
    <format dxfId="51">
      <pivotArea type="all" dataOnly="0" outline="0" fieldPosition="0"/>
    </format>
    <format dxfId="50">
      <pivotArea field="3" type="button" dataOnly="0" labelOnly="1" outline="0"/>
    </format>
    <format dxfId="49">
      <pivotArea dataOnly="0" labelOnly="1" grandRow="1" outline="0" fieldPosition="0"/>
    </format>
    <format dxfId="48">
      <pivotArea outline="0" collapsedLevelsAreSubtotals="1" fieldPosition="0"/>
    </format>
    <format dxfId="47">
      <pivotArea dataOnly="0" labelOnly="1" outline="0" axis="axisValues" fieldPosition="0"/>
    </format>
    <format dxfId="46">
      <pivotArea outline="0" collapsedLevelsAreSubtotals="1" fieldPosition="0"/>
    </format>
    <format dxfId="45">
      <pivotArea type="all" dataOnly="0" outline="0" fieldPosition="0"/>
    </format>
    <format dxfId="44">
      <pivotArea outline="0" collapsedLevelsAreSubtotals="1" fieldPosition="0"/>
    </format>
    <format dxfId="43">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Occupation" xr10:uid="{FCC6C8A8-2E48-4B80-98BC-FEA8D5025329}" sourceName="Primary_Occupation">
  <data>
    <tabular pivotCacheId="1705521011">
      <items count="6">
        <i x="0" s="1"/>
        <i x="3" s="1"/>
        <i x="1" s="1"/>
        <i x="4" s="1"/>
        <i x="2"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rict" xr10:uid="{CCB3C2B6-17F5-4A7C-AAEC-A7FF4248400B}" sourceName="District">
  <data>
    <tabular pivotCacheId="1705521011">
      <items count="10">
        <i x="2" s="1"/>
        <i x="4" s="1"/>
        <i x="3" s="1"/>
        <i x="7" s="1"/>
        <i x="5" s="1"/>
        <i x="9" s="1"/>
        <i x="1" s="1"/>
        <i x="6" s="1"/>
        <i x="0"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5FD8FB0-2381-438E-B870-AB63D8DD1C16}" sourceName="Region">
  <data>
    <tabular pivotCacheId="1705521011">
      <items count="4">
        <i x="1" s="1"/>
        <i x="0"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mary_Occupation 1" xr10:uid="{678C6EF9-DC82-48B8-B7E4-C87C24EFF7B5}" cache="Slicer_Primary_Occupation" caption="Primary_Occupation" columnCount="2" style="My Own 2" rowHeight="241300"/>
  <slicer name="District 1" xr10:uid="{150FA146-E19F-42D3-92DA-EB431C710088}" cache="Slicer_District" caption="District" columnCount="5" style="My Own 2" rowHeight="216000"/>
  <slicer name="Region" xr10:uid="{30840F69-9F1A-47A6-9100-94865A1DAE65}" cache="Slicer_Region" caption="Region" columnCount="2" style="My Own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29FCA-6EB1-4BC5-B99D-E5FE2DA10D1B}">
  <dimension ref="A34"/>
  <sheetViews>
    <sheetView showGridLines="0" tabSelected="1" zoomScaleNormal="100" workbookViewId="0"/>
  </sheetViews>
  <sheetFormatPr defaultRowHeight="15" x14ac:dyDescent="0.25"/>
  <cols>
    <col min="6" max="6" width="9.140625" customWidth="1"/>
    <col min="10" max="10" width="9.140625" customWidth="1"/>
  </cols>
  <sheetData>
    <row r="34" spans="1:1" x14ac:dyDescent="0.25">
      <c r="A34" s="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List Box 1">
              <controlPr defaultSize="0" autoLine="0" autoPict="0">
                <anchor>
                  <from>
                    <xdr:col>0</xdr:col>
                    <xdr:colOff>85725</xdr:colOff>
                    <xdr:row>34</xdr:row>
                    <xdr:rowOff>47625</xdr:rowOff>
                  </from>
                  <to>
                    <xdr:col>3</xdr:col>
                    <xdr:colOff>409575</xdr:colOff>
                    <xdr:row>38</xdr:row>
                    <xdr:rowOff>104775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E616F-C6AE-41B3-B9BE-7E348F85FFDE}">
  <dimension ref="A1:J110"/>
  <sheetViews>
    <sheetView showGridLines="0" workbookViewId="0"/>
  </sheetViews>
  <sheetFormatPr defaultRowHeight="11.25" x14ac:dyDescent="0.2"/>
  <cols>
    <col min="1" max="1" width="15.7109375" style="2" bestFit="1" customWidth="1"/>
    <col min="2" max="2" width="18.42578125" style="2" bestFit="1" customWidth="1"/>
    <col min="3" max="3" width="15.140625" style="2" bestFit="1" customWidth="1"/>
    <col min="4" max="4" width="19.42578125" style="2" bestFit="1" customWidth="1"/>
    <col min="5" max="5" width="27" style="2" bestFit="1" customWidth="1"/>
    <col min="6" max="6" width="12" style="2" bestFit="1" customWidth="1"/>
    <col min="7" max="7" width="12.5703125" style="2" bestFit="1" customWidth="1"/>
    <col min="8" max="8" width="15.140625" style="2" bestFit="1" customWidth="1"/>
    <col min="9" max="9" width="15.7109375" style="2" bestFit="1" customWidth="1"/>
    <col min="10" max="16384" width="9.140625" style="2"/>
  </cols>
  <sheetData>
    <row r="1" spans="1:9" x14ac:dyDescent="0.2">
      <c r="I1" s="2" t="s">
        <v>0</v>
      </c>
    </row>
    <row r="2" spans="1:9" x14ac:dyDescent="0.2">
      <c r="I2" s="2" t="s">
        <v>1</v>
      </c>
    </row>
    <row r="3" spans="1:9" x14ac:dyDescent="0.2">
      <c r="I3" s="2" t="s">
        <v>2</v>
      </c>
    </row>
    <row r="4" spans="1:9" x14ac:dyDescent="0.2">
      <c r="I4" s="2" t="s">
        <v>3</v>
      </c>
    </row>
    <row r="5" spans="1:9" x14ac:dyDescent="0.2">
      <c r="I5" s="2" t="s">
        <v>4</v>
      </c>
    </row>
    <row r="6" spans="1:9" x14ac:dyDescent="0.2">
      <c r="A6" s="3" t="s">
        <v>5</v>
      </c>
      <c r="B6" s="3" t="s">
        <v>6</v>
      </c>
      <c r="C6" s="3" t="s">
        <v>7</v>
      </c>
      <c r="D6" s="3" t="s">
        <v>8</v>
      </c>
      <c r="E6" s="3" t="s">
        <v>4</v>
      </c>
      <c r="F6" s="3" t="s">
        <v>9</v>
      </c>
      <c r="I6" s="2" t="s">
        <v>9</v>
      </c>
    </row>
    <row r="7" spans="1:9" x14ac:dyDescent="0.2">
      <c r="A7" s="2" t="s">
        <v>0</v>
      </c>
      <c r="B7" s="2" t="s">
        <v>1</v>
      </c>
      <c r="C7" s="2" t="s">
        <v>2</v>
      </c>
      <c r="D7" s="2" t="s">
        <v>3</v>
      </c>
      <c r="E7" s="2" t="s">
        <v>4</v>
      </c>
      <c r="F7" s="2" t="s">
        <v>9</v>
      </c>
    </row>
    <row r="8" spans="1:9" x14ac:dyDescent="0.2">
      <c r="A8" s="4">
        <v>78.225423728813595</v>
      </c>
      <c r="B8" s="4">
        <v>38.662711864406774</v>
      </c>
      <c r="C8" s="4">
        <v>71.762711864406796</v>
      </c>
      <c r="D8" s="4">
        <v>52.254237288135585</v>
      </c>
      <c r="E8" s="4">
        <v>57.833898305084745</v>
      </c>
      <c r="F8" s="4">
        <v>68.694915254237301</v>
      </c>
    </row>
    <row r="9" spans="1:9" x14ac:dyDescent="0.2">
      <c r="A9" s="5">
        <f>A8/100</f>
        <v>0.78225423728813592</v>
      </c>
      <c r="B9" s="5">
        <f t="shared" ref="B9:F9" si="0">B8/100</f>
        <v>0.38662711864406774</v>
      </c>
      <c r="C9" s="5">
        <f t="shared" si="0"/>
        <v>0.71762711864406792</v>
      </c>
      <c r="D9" s="5">
        <f t="shared" si="0"/>
        <v>0.52254237288135585</v>
      </c>
      <c r="E9" s="5">
        <f t="shared" si="0"/>
        <v>0.57833898305084741</v>
      </c>
      <c r="F9" s="5">
        <f t="shared" si="0"/>
        <v>0.68694915254237299</v>
      </c>
    </row>
    <row r="14" spans="1:9" x14ac:dyDescent="0.2">
      <c r="G14" s="3">
        <f>COUNTA(B17:B27)</f>
        <v>10</v>
      </c>
      <c r="H14" s="2">
        <v>7</v>
      </c>
    </row>
    <row r="15" spans="1:9" x14ac:dyDescent="0.2">
      <c r="F15" s="6" t="s">
        <v>10</v>
      </c>
      <c r="G15" s="6" t="s">
        <v>11</v>
      </c>
      <c r="H15" s="6" t="s">
        <v>12</v>
      </c>
    </row>
    <row r="16" spans="1:9" x14ac:dyDescent="0.2">
      <c r="A16" s="16" t="s">
        <v>13</v>
      </c>
      <c r="B16" s="7" t="s">
        <v>9</v>
      </c>
      <c r="C16" s="8" t="s">
        <v>9</v>
      </c>
      <c r="D16" s="8" t="s">
        <v>9</v>
      </c>
      <c r="F16" s="6">
        <v>1</v>
      </c>
      <c r="G16" s="9">
        <f>IF(COUNTA($B$17:$B$27)&lt;=7," ",SMALL($B$16:$B$26,F16))</f>
        <v>53</v>
      </c>
      <c r="H16" s="9">
        <f>IF(COUNTA($B$17:$B$27)&lt;=$H$14," ",LARGE($B$16:$B$26,F16))</f>
        <v>83.44</v>
      </c>
    </row>
    <row r="17" spans="1:8" x14ac:dyDescent="0.2">
      <c r="A17" s="2" t="s">
        <v>14</v>
      </c>
      <c r="B17" s="4">
        <v>53</v>
      </c>
      <c r="C17" s="4">
        <f>IFERROR(VLOOKUP(B17,$G$16:$G$20,1,0),"")</f>
        <v>53</v>
      </c>
      <c r="D17" s="4" t="str">
        <f>IFERROR(VLOOKUP(B17,$H$16:$H$20,1,0),"")</f>
        <v/>
      </c>
      <c r="F17" s="6">
        <v>2</v>
      </c>
      <c r="G17" s="9">
        <f t="shared" ref="G17:G20" si="1">IF(COUNTA($B$17:$B$27)&lt;=7," ",SMALL($B$16:$B$26,F17))</f>
        <v>58.875</v>
      </c>
      <c r="H17" s="9">
        <f t="shared" ref="H17:H20" si="2">IF(COUNTA($B$17:$B$27)&lt;=$H$14," ",LARGE($B$16:$B$26,F17))</f>
        <v>72.428571428571431</v>
      </c>
    </row>
    <row r="18" spans="1:8" x14ac:dyDescent="0.2">
      <c r="A18" s="2" t="s">
        <v>15</v>
      </c>
      <c r="B18" s="4">
        <v>58.875</v>
      </c>
      <c r="C18" s="4">
        <f t="shared" ref="C18:C26" si="3">IFERROR(VLOOKUP(B18,$G$16:$G$20,1,0),"")</f>
        <v>58.875</v>
      </c>
      <c r="D18" s="4" t="str">
        <f t="shared" ref="D18:D26" si="4">IFERROR(VLOOKUP(B18,$H$16:$H$20,1,0),"")</f>
        <v/>
      </c>
      <c r="F18" s="6">
        <v>3</v>
      </c>
      <c r="G18" s="9">
        <f t="shared" si="1"/>
        <v>61.316666666666663</v>
      </c>
      <c r="H18" s="9">
        <f t="shared" si="2"/>
        <v>72.175000000000011</v>
      </c>
    </row>
    <row r="19" spans="1:8" x14ac:dyDescent="0.2">
      <c r="A19" s="2" t="s">
        <v>16</v>
      </c>
      <c r="B19" s="4">
        <v>61.316666666666663</v>
      </c>
      <c r="C19" s="4">
        <f t="shared" si="3"/>
        <v>61.316666666666663</v>
      </c>
      <c r="D19" s="4" t="str">
        <f t="shared" si="4"/>
        <v/>
      </c>
      <c r="F19" s="6">
        <v>4</v>
      </c>
      <c r="G19" s="9">
        <f t="shared" si="1"/>
        <v>62.640000000000008</v>
      </c>
      <c r="H19" s="9">
        <f t="shared" si="2"/>
        <v>72.123529411764707</v>
      </c>
    </row>
    <row r="20" spans="1:8" x14ac:dyDescent="0.2">
      <c r="A20" s="2" t="s">
        <v>17</v>
      </c>
      <c r="B20" s="4">
        <v>62.640000000000008</v>
      </c>
      <c r="C20" s="4">
        <f t="shared" si="3"/>
        <v>62.640000000000008</v>
      </c>
      <c r="D20" s="4" t="str">
        <f t="shared" si="4"/>
        <v/>
      </c>
      <c r="F20" s="6">
        <v>5</v>
      </c>
      <c r="G20" s="9">
        <f t="shared" si="1"/>
        <v>66.02</v>
      </c>
      <c r="H20" s="9">
        <f t="shared" si="2"/>
        <v>69.433333333333337</v>
      </c>
    </row>
    <row r="21" spans="1:8" x14ac:dyDescent="0.2">
      <c r="A21" s="2" t="s">
        <v>18</v>
      </c>
      <c r="B21" s="4">
        <v>66.02</v>
      </c>
      <c r="C21" s="4">
        <f t="shared" si="3"/>
        <v>66.02</v>
      </c>
      <c r="D21" s="4" t="str">
        <f t="shared" si="4"/>
        <v/>
      </c>
    </row>
    <row r="22" spans="1:8" x14ac:dyDescent="0.2">
      <c r="A22" s="2" t="s">
        <v>19</v>
      </c>
      <c r="B22" s="4">
        <v>69.433333333333337</v>
      </c>
      <c r="C22" s="4" t="str">
        <f t="shared" si="3"/>
        <v/>
      </c>
      <c r="D22" s="4">
        <f t="shared" si="4"/>
        <v>69.433333333333337</v>
      </c>
      <c r="F22" s="2" t="str">
        <f>IF($G$14&lt;=$H$14," ","Highlighted are bottom 5")</f>
        <v>Highlighted are bottom 5</v>
      </c>
    </row>
    <row r="23" spans="1:8" x14ac:dyDescent="0.2">
      <c r="A23" s="2" t="s">
        <v>20</v>
      </c>
      <c r="B23" s="4">
        <v>72.123529411764707</v>
      </c>
      <c r="C23" s="4" t="str">
        <f t="shared" si="3"/>
        <v/>
      </c>
      <c r="D23" s="4">
        <f t="shared" si="4"/>
        <v>72.123529411764707</v>
      </c>
    </row>
    <row r="24" spans="1:8" x14ac:dyDescent="0.2">
      <c r="A24" s="2" t="s">
        <v>21</v>
      </c>
      <c r="B24" s="4">
        <v>72.175000000000011</v>
      </c>
      <c r="C24" s="4" t="str">
        <f t="shared" si="3"/>
        <v/>
      </c>
      <c r="D24" s="4">
        <f t="shared" si="4"/>
        <v>72.175000000000011</v>
      </c>
    </row>
    <row r="25" spans="1:8" x14ac:dyDescent="0.2">
      <c r="A25" s="2" t="s">
        <v>22</v>
      </c>
      <c r="B25" s="4">
        <v>72.428571428571431</v>
      </c>
      <c r="C25" s="4" t="str">
        <f t="shared" si="3"/>
        <v/>
      </c>
      <c r="D25" s="4">
        <f t="shared" si="4"/>
        <v>72.428571428571431</v>
      </c>
    </row>
    <row r="26" spans="1:8" x14ac:dyDescent="0.2">
      <c r="A26" s="2" t="s">
        <v>23</v>
      </c>
      <c r="B26" s="4">
        <v>83.44</v>
      </c>
      <c r="C26" s="4" t="str">
        <f t="shared" si="3"/>
        <v/>
      </c>
      <c r="D26" s="4">
        <f t="shared" si="4"/>
        <v>83.44</v>
      </c>
    </row>
    <row r="27" spans="1:8" x14ac:dyDescent="0.2">
      <c r="B27" s="4"/>
      <c r="C27" s="4"/>
      <c r="D27" s="4"/>
    </row>
    <row r="28" spans="1:8" x14ac:dyDescent="0.2">
      <c r="B28" s="4"/>
      <c r="C28" s="4"/>
      <c r="D28" s="4"/>
    </row>
    <row r="30" spans="1:8" x14ac:dyDescent="0.2">
      <c r="A30" s="10" t="s">
        <v>13</v>
      </c>
      <c r="B30" s="10" t="s">
        <v>9</v>
      </c>
      <c r="C30" s="10" t="s">
        <v>24</v>
      </c>
      <c r="D30" s="10" t="s">
        <v>25</v>
      </c>
    </row>
    <row r="31" spans="1:8" x14ac:dyDescent="0.2">
      <c r="A31" s="11" t="str">
        <f>A17</f>
        <v>South West Garo Hills</v>
      </c>
      <c r="B31" s="12">
        <f>IFERROR(VLOOKUP(A31,$A$16:$B$26,2,0)," ")</f>
        <v>53</v>
      </c>
      <c r="C31" s="12">
        <f>IFERROR(VLOOKUP(A31,$A$16:$C$26,3,0), " ")</f>
        <v>53</v>
      </c>
      <c r="D31" s="12" t="str">
        <f>IFERROR(VLOOKUP(A31,$A$16:$D$26,4,0)," ")</f>
        <v/>
      </c>
    </row>
    <row r="32" spans="1:8" x14ac:dyDescent="0.2">
      <c r="A32" s="11" t="str">
        <f t="shared" ref="A32:A40" si="5">A18</f>
        <v>East Garo Hills</v>
      </c>
      <c r="B32" s="12">
        <f t="shared" ref="B32:B40" si="6">IFERROR(VLOOKUP(A32,$A$16:$B$26,2,0)," ")</f>
        <v>58.875</v>
      </c>
      <c r="C32" s="12">
        <f t="shared" ref="C32:C40" si="7">IFERROR(VLOOKUP(A32,$A$16:$C$26,3,0), " ")</f>
        <v>58.875</v>
      </c>
      <c r="D32" s="12" t="str">
        <f t="shared" ref="D32:D40" si="8">IFERROR(VLOOKUP(A32,$A$16:$D$26,4,0)," ")</f>
        <v/>
      </c>
    </row>
    <row r="33" spans="1:7" x14ac:dyDescent="0.2">
      <c r="A33" s="11" t="str">
        <f t="shared" si="5"/>
        <v>West Jaintia Hills</v>
      </c>
      <c r="B33" s="12">
        <f t="shared" si="6"/>
        <v>61.316666666666663</v>
      </c>
      <c r="C33" s="12">
        <f t="shared" si="7"/>
        <v>61.316666666666663</v>
      </c>
      <c r="D33" s="12" t="str">
        <f t="shared" si="8"/>
        <v/>
      </c>
    </row>
    <row r="34" spans="1:7" x14ac:dyDescent="0.2">
      <c r="A34" s="11" t="str">
        <f t="shared" si="5"/>
        <v>East Jaintia Hills</v>
      </c>
      <c r="B34" s="12">
        <f t="shared" si="6"/>
        <v>62.640000000000008</v>
      </c>
      <c r="C34" s="12">
        <f t="shared" si="7"/>
        <v>62.640000000000008</v>
      </c>
      <c r="D34" s="12" t="str">
        <f t="shared" si="8"/>
        <v/>
      </c>
    </row>
    <row r="35" spans="1:7" x14ac:dyDescent="0.2">
      <c r="A35" s="11" t="str">
        <f t="shared" si="5"/>
        <v>Ri Bhoi</v>
      </c>
      <c r="B35" s="12">
        <f t="shared" si="6"/>
        <v>66.02</v>
      </c>
      <c r="C35" s="12">
        <f t="shared" si="7"/>
        <v>66.02</v>
      </c>
      <c r="D35" s="12" t="str">
        <f t="shared" si="8"/>
        <v/>
      </c>
    </row>
    <row r="36" spans="1:7" x14ac:dyDescent="0.2">
      <c r="A36" s="11" t="str">
        <f t="shared" si="5"/>
        <v>South Garo Hills</v>
      </c>
      <c r="B36" s="12">
        <f t="shared" si="6"/>
        <v>69.433333333333337</v>
      </c>
      <c r="C36" s="12" t="str">
        <f t="shared" si="7"/>
        <v/>
      </c>
      <c r="D36" s="12">
        <f t="shared" si="8"/>
        <v>69.433333333333337</v>
      </c>
    </row>
    <row r="37" spans="1:7" x14ac:dyDescent="0.2">
      <c r="A37" s="11" t="str">
        <f t="shared" si="5"/>
        <v>East Khasi Hills</v>
      </c>
      <c r="B37" s="12">
        <f t="shared" si="6"/>
        <v>72.123529411764707</v>
      </c>
      <c r="C37" s="12" t="str">
        <f t="shared" si="7"/>
        <v/>
      </c>
      <c r="D37" s="12">
        <f t="shared" si="8"/>
        <v>72.123529411764707</v>
      </c>
    </row>
    <row r="38" spans="1:7" x14ac:dyDescent="0.2">
      <c r="A38" s="11" t="str">
        <f t="shared" si="5"/>
        <v>North Garo Hills</v>
      </c>
      <c r="B38" s="12">
        <f t="shared" si="6"/>
        <v>72.175000000000011</v>
      </c>
      <c r="C38" s="12" t="str">
        <f t="shared" si="7"/>
        <v/>
      </c>
      <c r="D38" s="12">
        <f t="shared" si="8"/>
        <v>72.175000000000011</v>
      </c>
    </row>
    <row r="39" spans="1:7" x14ac:dyDescent="0.2">
      <c r="A39" s="11" t="str">
        <f t="shared" si="5"/>
        <v>West Garo Hills</v>
      </c>
      <c r="B39" s="12">
        <f t="shared" si="6"/>
        <v>72.428571428571431</v>
      </c>
      <c r="C39" s="12" t="str">
        <f t="shared" si="7"/>
        <v/>
      </c>
      <c r="D39" s="12">
        <f t="shared" si="8"/>
        <v>72.428571428571431</v>
      </c>
    </row>
    <row r="40" spans="1:7" x14ac:dyDescent="0.2">
      <c r="A40" s="11" t="str">
        <f t="shared" si="5"/>
        <v>West Khasi Hills</v>
      </c>
      <c r="B40" s="12">
        <f t="shared" si="6"/>
        <v>83.44</v>
      </c>
      <c r="C40" s="12" t="str">
        <f t="shared" si="7"/>
        <v/>
      </c>
      <c r="D40" s="12">
        <f t="shared" si="8"/>
        <v>83.44</v>
      </c>
    </row>
    <row r="44" spans="1:7" x14ac:dyDescent="0.2">
      <c r="A44" s="16" t="s">
        <v>13</v>
      </c>
      <c r="B44" s="2" t="s">
        <v>0</v>
      </c>
      <c r="C44" s="2" t="s">
        <v>1</v>
      </c>
      <c r="D44" s="2" t="s">
        <v>2</v>
      </c>
      <c r="E44" s="2" t="s">
        <v>3</v>
      </c>
      <c r="F44" s="2" t="s">
        <v>4</v>
      </c>
      <c r="G44" s="2" t="s">
        <v>9</v>
      </c>
    </row>
    <row r="45" spans="1:7" x14ac:dyDescent="0.2">
      <c r="A45" s="2" t="s">
        <v>15</v>
      </c>
      <c r="B45" s="4">
        <v>85.924999999999997</v>
      </c>
      <c r="C45" s="4">
        <v>36.975000000000001</v>
      </c>
      <c r="D45" s="4">
        <v>76.05</v>
      </c>
      <c r="E45" s="4">
        <v>34.075000000000003</v>
      </c>
      <c r="F45" s="4">
        <v>59.95</v>
      </c>
      <c r="G45" s="4">
        <v>58.875</v>
      </c>
    </row>
    <row r="46" spans="1:7" x14ac:dyDescent="0.2">
      <c r="A46" s="2" t="s">
        <v>17</v>
      </c>
      <c r="B46" s="4">
        <v>78.3</v>
      </c>
      <c r="C46" s="4">
        <v>47.280000000000008</v>
      </c>
      <c r="D46" s="4">
        <v>83.08</v>
      </c>
      <c r="E46" s="4">
        <v>42.179999999999993</v>
      </c>
      <c r="F46" s="4">
        <v>43.9</v>
      </c>
      <c r="G46" s="4">
        <v>62.640000000000008</v>
      </c>
    </row>
    <row r="47" spans="1:7" x14ac:dyDescent="0.2">
      <c r="A47" s="2" t="s">
        <v>20</v>
      </c>
      <c r="B47" s="4">
        <v>73.770588235294127</v>
      </c>
      <c r="C47" s="4">
        <v>33.505882352941178</v>
      </c>
      <c r="D47" s="4">
        <v>68.517647058823528</v>
      </c>
      <c r="E47" s="4">
        <v>65.764705882352956</v>
      </c>
      <c r="F47" s="4">
        <v>66.376470588235293</v>
      </c>
      <c r="G47" s="4">
        <v>72.123529411764707</v>
      </c>
    </row>
    <row r="48" spans="1:7" x14ac:dyDescent="0.2">
      <c r="A48" s="2" t="s">
        <v>21</v>
      </c>
      <c r="B48" s="4">
        <v>78.875</v>
      </c>
      <c r="C48" s="4">
        <v>41.725000000000001</v>
      </c>
      <c r="D48" s="4">
        <v>69.2</v>
      </c>
      <c r="E48" s="4">
        <v>32.375</v>
      </c>
      <c r="F48" s="4">
        <v>54.1</v>
      </c>
      <c r="G48" s="4">
        <v>72.175000000000011</v>
      </c>
    </row>
    <row r="49" spans="1:10" x14ac:dyDescent="0.2">
      <c r="A49" s="2" t="s">
        <v>18</v>
      </c>
      <c r="B49" s="4">
        <v>83.960000000000008</v>
      </c>
      <c r="C49" s="4">
        <v>44.519999999999996</v>
      </c>
      <c r="D49" s="4">
        <v>76.260000000000005</v>
      </c>
      <c r="E49" s="4">
        <v>57.779999999999994</v>
      </c>
      <c r="F49" s="4">
        <v>66.960000000000008</v>
      </c>
      <c r="G49" s="4">
        <v>66.02</v>
      </c>
    </row>
    <row r="50" spans="1:10" x14ac:dyDescent="0.2">
      <c r="A50" s="2" t="s">
        <v>19</v>
      </c>
      <c r="B50" s="4">
        <v>78.899999999999991</v>
      </c>
      <c r="C50" s="4">
        <v>40.833333333333336</v>
      </c>
      <c r="D50" s="4">
        <v>78.899999999999991</v>
      </c>
      <c r="E50" s="4">
        <v>51.233333333333327</v>
      </c>
      <c r="F50" s="4">
        <v>52.866666666666667</v>
      </c>
      <c r="G50" s="4">
        <v>69.433333333333337</v>
      </c>
    </row>
    <row r="51" spans="1:10" x14ac:dyDescent="0.2">
      <c r="A51" s="2" t="s">
        <v>14</v>
      </c>
      <c r="B51" s="4">
        <v>80.899999999999991</v>
      </c>
      <c r="C51" s="4">
        <v>40.966666666666669</v>
      </c>
      <c r="D51" s="4">
        <v>56.9</v>
      </c>
      <c r="E51" s="4">
        <v>42.06666666666667</v>
      </c>
      <c r="F51" s="4">
        <v>47.966666666666669</v>
      </c>
      <c r="G51" s="4">
        <v>53</v>
      </c>
    </row>
    <row r="52" spans="1:10" x14ac:dyDescent="0.2">
      <c r="A52" s="2" t="s">
        <v>22</v>
      </c>
      <c r="B52" s="4">
        <v>77.557142857142864</v>
      </c>
      <c r="C52" s="4">
        <v>34.928571428571431</v>
      </c>
      <c r="D52" s="4">
        <v>71.928571428571431</v>
      </c>
      <c r="E52" s="4">
        <v>52.114285714285721</v>
      </c>
      <c r="F52" s="4">
        <v>60.2</v>
      </c>
      <c r="G52" s="4">
        <v>72.428571428571431</v>
      </c>
    </row>
    <row r="53" spans="1:10" x14ac:dyDescent="0.2">
      <c r="A53" s="2" t="s">
        <v>16</v>
      </c>
      <c r="B53" s="4">
        <v>77.533333333333317</v>
      </c>
      <c r="C53" s="4">
        <v>37.716666666666661</v>
      </c>
      <c r="D53" s="4">
        <v>72.516666666666652</v>
      </c>
      <c r="E53" s="4">
        <v>50.766666666666659</v>
      </c>
      <c r="F53" s="4">
        <v>54.949999999999996</v>
      </c>
      <c r="G53" s="4">
        <v>61.316666666666663</v>
      </c>
    </row>
    <row r="54" spans="1:10" x14ac:dyDescent="0.2">
      <c r="A54" s="2" t="s">
        <v>23</v>
      </c>
      <c r="B54" s="4">
        <v>80.639999999999986</v>
      </c>
      <c r="C54" s="4">
        <v>44.3</v>
      </c>
      <c r="D54" s="4">
        <v>69.099999999999994</v>
      </c>
      <c r="E54" s="4">
        <v>50.019999999999996</v>
      </c>
      <c r="F54" s="4">
        <v>43.940000000000005</v>
      </c>
      <c r="G54" s="4">
        <v>83.44</v>
      </c>
    </row>
    <row r="55" spans="1:10" x14ac:dyDescent="0.2">
      <c r="A55" s="2" t="s">
        <v>26</v>
      </c>
      <c r="B55" s="4">
        <v>78.225423728813595</v>
      </c>
      <c r="C55" s="4">
        <v>38.662711864406781</v>
      </c>
      <c r="D55" s="4">
        <v>71.762711864406796</v>
      </c>
      <c r="E55" s="4">
        <v>52.254237288135592</v>
      </c>
      <c r="F55" s="4">
        <v>57.833898305084752</v>
      </c>
      <c r="G55" s="4">
        <v>68.694915254237301</v>
      </c>
    </row>
    <row r="58" spans="1:10" x14ac:dyDescent="0.2">
      <c r="A58" s="13" t="s">
        <v>27</v>
      </c>
    </row>
    <row r="59" spans="1:10" x14ac:dyDescent="0.2">
      <c r="A59" s="1">
        <v>2</v>
      </c>
    </row>
    <row r="61" spans="1:10" x14ac:dyDescent="0.2">
      <c r="A61" s="14" t="s">
        <v>13</v>
      </c>
      <c r="B61" s="14" t="str">
        <f>IF($A$59=1,B44,IF(A59=2,C44,IF(A59=3,D44,IF(A59=4,E44,IF(A59=5,F44,IF(A59=6,G44))))))</f>
        <v xml:space="preserve">BPL_Households_Pct </v>
      </c>
      <c r="C61" s="15" t="s">
        <v>24</v>
      </c>
      <c r="J61" s="2" t="s">
        <v>15</v>
      </c>
    </row>
    <row r="62" spans="1:10" x14ac:dyDescent="0.2">
      <c r="A62" s="2" t="s">
        <v>15</v>
      </c>
      <c r="B62" s="4">
        <f>IFERROR(IF($A$59=1,VLOOKUP(A62,$A$44:$B$55,2,0),IF($A$59=2,VLOOKUP(A62,$A$44:$C$55,3,0),IF($A$59=3,VLOOKUP(A62,$A$44:$D$55,4,0),IF($A$59=4,VLOOKUP(A62,$A$44:$E$55,5,0),IF($A$59=5,VLOOKUP(A62,$A$44:$F$55,6,0),IF($A$59=6,VLOOKUP(A62,$A$44:$G$55,7,0))))))),"")</f>
        <v>36.975000000000001</v>
      </c>
      <c r="C62" s="4">
        <f>IFERROR(VLOOKUP(B62,$F$64:$F$68,1,0),"")</f>
        <v>36.975000000000001</v>
      </c>
      <c r="D62" s="2">
        <v>1</v>
      </c>
      <c r="F62" s="3">
        <f>COUNT(B62:B72)</f>
        <v>10</v>
      </c>
      <c r="G62" s="2">
        <v>7</v>
      </c>
      <c r="J62" s="2" t="s">
        <v>17</v>
      </c>
    </row>
    <row r="63" spans="1:10" x14ac:dyDescent="0.2">
      <c r="A63" s="2" t="s">
        <v>17</v>
      </c>
      <c r="B63" s="4">
        <f t="shared" ref="B63:B71" si="9">IFERROR(IF($A$59=1,VLOOKUP(A63,$A$44:$B$55,2,0),IF($A$59=2,VLOOKUP(A63,$A$44:$C$55,3,0),IF($A$59=3,VLOOKUP(A63,$A$44:$D$55,4,0),IF($A$59=4,VLOOKUP(A63,$A$44:$E$55,5,0),IF($A$59=5,VLOOKUP(A63,$A$44:$F$55,6,0),IF($A$59=6,VLOOKUP(A63,$A$44:$G$55,7,0))))))),"")</f>
        <v>47.280000000000008</v>
      </c>
      <c r="C63" s="4" t="str">
        <f t="shared" ref="C63:C71" si="10">IFERROR(VLOOKUP(B63,$F$64:$F$68,1,0),"")</f>
        <v/>
      </c>
      <c r="D63" s="2">
        <v>2</v>
      </c>
      <c r="E63" s="6" t="s">
        <v>10</v>
      </c>
      <c r="F63" s="6" t="s">
        <v>11</v>
      </c>
      <c r="G63" s="6" t="s">
        <v>12</v>
      </c>
      <c r="J63" s="2" t="s">
        <v>20</v>
      </c>
    </row>
    <row r="64" spans="1:10" x14ac:dyDescent="0.2">
      <c r="A64" s="2" t="s">
        <v>20</v>
      </c>
      <c r="B64" s="4">
        <f t="shared" si="9"/>
        <v>33.505882352941178</v>
      </c>
      <c r="C64" s="4">
        <f t="shared" si="10"/>
        <v>33.505882352941178</v>
      </c>
      <c r="D64" s="2">
        <v>3</v>
      </c>
      <c r="E64" s="6">
        <v>1</v>
      </c>
      <c r="F64" s="9">
        <f>IF(COUNT($B$17:$B$27)&lt;=7," ",SMALL($B$62:$B$71,E64))</f>
        <v>33.505882352941178</v>
      </c>
      <c r="G64" s="9">
        <f>IF(COUNTA($B$17:$B$27)&lt;=$H$14," ",LARGE($B$16:$B$26,E64))</f>
        <v>83.44</v>
      </c>
      <c r="J64" s="2" t="s">
        <v>21</v>
      </c>
    </row>
    <row r="65" spans="1:10" x14ac:dyDescent="0.2">
      <c r="A65" s="2" t="s">
        <v>21</v>
      </c>
      <c r="B65" s="4">
        <f t="shared" si="9"/>
        <v>41.725000000000001</v>
      </c>
      <c r="C65" s="4" t="str">
        <f t="shared" si="10"/>
        <v/>
      </c>
      <c r="D65" s="2">
        <v>4</v>
      </c>
      <c r="E65" s="6">
        <v>2</v>
      </c>
      <c r="F65" s="9">
        <f>IF(COUNT($B$17:$B$27)&lt;=7," ",SMALL($B$62:$B$71,E65))</f>
        <v>34.928571428571431</v>
      </c>
      <c r="G65" s="9">
        <f t="shared" ref="G65:G68" si="11">IF(COUNTA($B$17:$B$27)&lt;=$H$14," ",LARGE($B$16:$B$26,E65))</f>
        <v>72.428571428571431</v>
      </c>
      <c r="J65" s="2" t="s">
        <v>18</v>
      </c>
    </row>
    <row r="66" spans="1:10" x14ac:dyDescent="0.2">
      <c r="A66" s="2" t="s">
        <v>18</v>
      </c>
      <c r="B66" s="4">
        <f t="shared" si="9"/>
        <v>44.519999999999996</v>
      </c>
      <c r="C66" s="4" t="str">
        <f t="shared" si="10"/>
        <v/>
      </c>
      <c r="D66" s="2">
        <v>5</v>
      </c>
      <c r="E66" s="6">
        <v>3</v>
      </c>
      <c r="F66" s="9">
        <f>IF(COUNT($B$17:$B$27)&lt;=7," ",SMALL($B$62:$B$71,E66))</f>
        <v>36.975000000000001</v>
      </c>
      <c r="G66" s="9">
        <f t="shared" si="11"/>
        <v>72.175000000000011</v>
      </c>
      <c r="J66" s="2" t="s">
        <v>19</v>
      </c>
    </row>
    <row r="67" spans="1:10" x14ac:dyDescent="0.2">
      <c r="A67" s="2" t="s">
        <v>19</v>
      </c>
      <c r="B67" s="4">
        <f t="shared" si="9"/>
        <v>40.833333333333336</v>
      </c>
      <c r="C67" s="4">
        <f t="shared" si="10"/>
        <v>40.833333333333336</v>
      </c>
      <c r="E67" s="6">
        <v>4</v>
      </c>
      <c r="F67" s="9">
        <f>IF(COUNT($B$17:$B$27)&lt;=7," ",SMALL($B$62:$B$71,E67))</f>
        <v>37.716666666666661</v>
      </c>
      <c r="G67" s="9">
        <f t="shared" si="11"/>
        <v>72.123529411764707</v>
      </c>
      <c r="J67" s="2" t="s">
        <v>14</v>
      </c>
    </row>
    <row r="68" spans="1:10" x14ac:dyDescent="0.2">
      <c r="A68" s="2" t="s">
        <v>14</v>
      </c>
      <c r="B68" s="4">
        <f t="shared" si="9"/>
        <v>40.966666666666669</v>
      </c>
      <c r="C68" s="4" t="str">
        <f t="shared" si="10"/>
        <v/>
      </c>
      <c r="E68" s="6">
        <v>5</v>
      </c>
      <c r="F68" s="9">
        <f>IF(COUNT($B$17:$B$27)&lt;=7," ",SMALL($B$62:$B$71,E68))</f>
        <v>40.833333333333336</v>
      </c>
      <c r="G68" s="9">
        <f t="shared" si="11"/>
        <v>69.433333333333337</v>
      </c>
      <c r="J68" s="2" t="s">
        <v>22</v>
      </c>
    </row>
    <row r="69" spans="1:10" x14ac:dyDescent="0.2">
      <c r="A69" s="2" t="s">
        <v>22</v>
      </c>
      <c r="B69" s="4">
        <f t="shared" si="9"/>
        <v>34.928571428571431</v>
      </c>
      <c r="C69" s="4">
        <f t="shared" si="10"/>
        <v>34.928571428571431</v>
      </c>
      <c r="J69" s="2" t="s">
        <v>16</v>
      </c>
    </row>
    <row r="70" spans="1:10" x14ac:dyDescent="0.2">
      <c r="A70" s="2" t="s">
        <v>16</v>
      </c>
      <c r="B70" s="4">
        <f t="shared" si="9"/>
        <v>37.716666666666661</v>
      </c>
      <c r="C70" s="4">
        <f t="shared" si="10"/>
        <v>37.716666666666661</v>
      </c>
      <c r="E70" s="2" t="str">
        <f>IF($F$62&lt;=$G$62," ","Highlighted are bottom 5")</f>
        <v>Highlighted are bottom 5</v>
      </c>
      <c r="J70" s="2" t="s">
        <v>23</v>
      </c>
    </row>
    <row r="71" spans="1:10" x14ac:dyDescent="0.2">
      <c r="A71" s="2" t="s">
        <v>23</v>
      </c>
      <c r="B71" s="4">
        <f t="shared" si="9"/>
        <v>44.3</v>
      </c>
      <c r="C71" s="4" t="str">
        <f t="shared" si="10"/>
        <v/>
      </c>
      <c r="J71" s="2" t="s">
        <v>26</v>
      </c>
    </row>
    <row r="76" spans="1:10" x14ac:dyDescent="0.2">
      <c r="A76" s="16" t="s">
        <v>28</v>
      </c>
      <c r="B76" s="2" t="s">
        <v>0</v>
      </c>
      <c r="C76" s="2" t="s">
        <v>1</v>
      </c>
      <c r="D76" s="2" t="s">
        <v>2</v>
      </c>
      <c r="E76" s="2" t="s">
        <v>3</v>
      </c>
      <c r="F76" s="2" t="s">
        <v>4</v>
      </c>
      <c r="G76" s="2" t="s">
        <v>9</v>
      </c>
    </row>
    <row r="77" spans="1:10" x14ac:dyDescent="0.2">
      <c r="A77" s="2" t="s">
        <v>29</v>
      </c>
      <c r="B77" s="4">
        <v>80.071428571428555</v>
      </c>
      <c r="C77" s="4">
        <v>38.319047619047616</v>
      </c>
      <c r="D77" s="4">
        <v>71.042857142857144</v>
      </c>
      <c r="E77" s="4">
        <v>43.357142857142861</v>
      </c>
      <c r="F77" s="4">
        <v>56.195238095238089</v>
      </c>
      <c r="G77" s="4">
        <v>66.595238095238102</v>
      </c>
    </row>
    <row r="78" spans="1:10" x14ac:dyDescent="0.2">
      <c r="A78" s="2" t="s">
        <v>30</v>
      </c>
      <c r="B78" s="4">
        <v>77.88181818181819</v>
      </c>
      <c r="C78" s="4">
        <v>42.063636363636363</v>
      </c>
      <c r="D78" s="4">
        <v>77.318181818181813</v>
      </c>
      <c r="E78" s="4">
        <v>46.863636363636367</v>
      </c>
      <c r="F78" s="4">
        <v>49.927272727272729</v>
      </c>
      <c r="G78" s="4">
        <v>61.918181818181822</v>
      </c>
    </row>
    <row r="79" spans="1:10" x14ac:dyDescent="0.2">
      <c r="A79" s="2" t="s">
        <v>31</v>
      </c>
      <c r="B79" s="4">
        <v>75.331818181818164</v>
      </c>
      <c r="C79" s="4">
        <v>35.959090909090918</v>
      </c>
      <c r="D79" s="4">
        <v>68.650000000000006</v>
      </c>
      <c r="E79" s="4">
        <v>62.18636363636363</v>
      </c>
      <c r="F79" s="4">
        <v>61.277272727272731</v>
      </c>
      <c r="G79" s="4">
        <v>74.695454545454538</v>
      </c>
    </row>
    <row r="80" spans="1:10" x14ac:dyDescent="0.2">
      <c r="A80" s="2" t="s">
        <v>18</v>
      </c>
      <c r="B80" s="4">
        <v>83.960000000000008</v>
      </c>
      <c r="C80" s="4">
        <v>44.519999999999996</v>
      </c>
      <c r="D80" s="4">
        <v>76.260000000000005</v>
      </c>
      <c r="E80" s="4">
        <v>57.779999999999994</v>
      </c>
      <c r="F80" s="4">
        <v>66.960000000000008</v>
      </c>
      <c r="G80" s="4">
        <v>66.02</v>
      </c>
    </row>
    <row r="81" spans="1:9" x14ac:dyDescent="0.2">
      <c r="A81" s="2" t="s">
        <v>26</v>
      </c>
      <c r="B81" s="4">
        <v>78.225423728813567</v>
      </c>
      <c r="C81" s="4">
        <v>38.662711864406774</v>
      </c>
      <c r="D81" s="4">
        <v>71.762711864406782</v>
      </c>
      <c r="E81" s="4">
        <v>52.254237288135585</v>
      </c>
      <c r="F81" s="4">
        <v>57.833898305084759</v>
      </c>
      <c r="G81" s="4">
        <v>68.694915254237301</v>
      </c>
    </row>
    <row r="88" spans="1:9" x14ac:dyDescent="0.2">
      <c r="A88" s="14" t="s">
        <v>28</v>
      </c>
      <c r="B88" s="8" t="str">
        <f>IF($A$59=1,B76,IF($A$59=2,C76,IF($A$59=3,D76,IF($A$59=4,E76,IF($A$59=5,F76,IF($A$59=6,G76))))))</f>
        <v xml:space="preserve">BPL_Households_Pct </v>
      </c>
      <c r="C88" s="15" t="s">
        <v>24</v>
      </c>
      <c r="I88" s="2" t="s">
        <v>29</v>
      </c>
    </row>
    <row r="89" spans="1:9" x14ac:dyDescent="0.2">
      <c r="A89" s="2" t="s">
        <v>29</v>
      </c>
      <c r="B89" s="4">
        <f>IFERROR(IF($A$59=1,VLOOKUP(A89,$A$76:$B$80,2,0),IF($A$59=2,VLOOKUP(A89,$A$76:$C$80,3,0),IF($A$59=3,VLOOKUP(A89,$A$76:$D$80,4,0),IF($A$59=4,VLOOKUP(A89,$A$76:$E$80,5,0),IF($A$59=5,VLOOKUP(A89,$A$76:$F$80,6,0),IF($A$59=6,VLOOKUP(A89,$A$76:$G$80,7,0))))))),"")</f>
        <v>38.319047619047616</v>
      </c>
      <c r="C89" s="4" t="str">
        <f>IFERROR(VLOOKUP(B89,$F$90:$F$91,1,0)," ")</f>
        <v xml:space="preserve"> </v>
      </c>
      <c r="F89" s="3">
        <f>COUNT(B89:B96)</f>
        <v>4</v>
      </c>
      <c r="G89" s="7">
        <v>3</v>
      </c>
      <c r="I89" s="2" t="s">
        <v>30</v>
      </c>
    </row>
    <row r="90" spans="1:9" x14ac:dyDescent="0.2">
      <c r="A90" s="2" t="s">
        <v>30</v>
      </c>
      <c r="B90" s="4">
        <f t="shared" ref="B90:B92" si="12">IFERROR(IF($A$59=1,VLOOKUP(A90,$A$76:$B$80,2,0),IF($A$59=2,VLOOKUP(A90,$A$76:$C$80,3,0),IF($A$59=3,VLOOKUP(A90,$A$76:$D$80,4,0),IF($A$59=4,VLOOKUP(A90,$A$76:$E$80,5,0),IF($A$59=5,VLOOKUP(A90,$A$76:$F$80,6,0),IF($A$59=6,VLOOKUP(A90,$A$76:$G$80,7,0))))))),"")</f>
        <v>42.063636363636363</v>
      </c>
      <c r="C90" s="4" t="str">
        <f t="shared" ref="C90:C92" si="13">IFERROR(VLOOKUP(B90,$F$90:$F$91,1,0)," ")</f>
        <v xml:space="preserve"> </v>
      </c>
      <c r="E90" s="6" t="s">
        <v>10</v>
      </c>
      <c r="F90" s="6" t="s">
        <v>11</v>
      </c>
      <c r="G90" s="6" t="s">
        <v>12</v>
      </c>
      <c r="I90" s="2" t="s">
        <v>31</v>
      </c>
    </row>
    <row r="91" spans="1:9" x14ac:dyDescent="0.2">
      <c r="A91" s="2" t="s">
        <v>31</v>
      </c>
      <c r="B91" s="4">
        <f t="shared" si="12"/>
        <v>35.959090909090918</v>
      </c>
      <c r="C91" s="4">
        <f t="shared" si="13"/>
        <v>35.959090909090918</v>
      </c>
      <c r="E91" s="6">
        <v>1</v>
      </c>
      <c r="F91" s="9">
        <f>IF(COUNT($B$17:$B$27)&lt;$G$89," ",SMALL($B$89:$B$92,E91))</f>
        <v>35.959090909090918</v>
      </c>
      <c r="G91" s="9">
        <f>IF(COUNTA($B$17:$B$27)&lt;=$H$14," ",LARGE($B$16:$B$26,E91))</f>
        <v>83.44</v>
      </c>
      <c r="I91" s="2" t="s">
        <v>18</v>
      </c>
    </row>
    <row r="92" spans="1:9" x14ac:dyDescent="0.2">
      <c r="A92" s="2" t="s">
        <v>18</v>
      </c>
      <c r="B92" s="4">
        <f t="shared" si="12"/>
        <v>44.519999999999996</v>
      </c>
      <c r="C92" s="4" t="str">
        <f t="shared" si="13"/>
        <v xml:space="preserve"> </v>
      </c>
    </row>
    <row r="93" spans="1:9" x14ac:dyDescent="0.2">
      <c r="B93" s="4"/>
      <c r="C93" s="4"/>
      <c r="E93" s="2" t="str">
        <f>IF($F$89&lt;=$G$89," ","Highlighted is the bottom performance")</f>
        <v>Highlighted is the bottom performance</v>
      </c>
    </row>
    <row r="94" spans="1:9" x14ac:dyDescent="0.2">
      <c r="B94" s="4"/>
      <c r="C94" s="4"/>
    </row>
    <row r="95" spans="1:9" x14ac:dyDescent="0.2">
      <c r="B95" s="4"/>
      <c r="C95" s="4"/>
    </row>
    <row r="100" spans="1:2" x14ac:dyDescent="0.2">
      <c r="A100" s="16" t="s">
        <v>13</v>
      </c>
      <c r="B100" s="7" t="s">
        <v>0</v>
      </c>
    </row>
    <row r="101" spans="1:2" x14ac:dyDescent="0.2">
      <c r="A101" s="2" t="s">
        <v>23</v>
      </c>
      <c r="B101" s="4">
        <v>80.639999999999986</v>
      </c>
    </row>
    <row r="102" spans="1:2" x14ac:dyDescent="0.2">
      <c r="A102" s="2" t="s">
        <v>16</v>
      </c>
      <c r="B102" s="4">
        <v>77.533333333333317</v>
      </c>
    </row>
    <row r="103" spans="1:2" x14ac:dyDescent="0.2">
      <c r="A103" s="2" t="s">
        <v>22</v>
      </c>
      <c r="B103" s="4">
        <v>77.557142857142864</v>
      </c>
    </row>
    <row r="104" spans="1:2" x14ac:dyDescent="0.2">
      <c r="A104" s="2" t="s">
        <v>14</v>
      </c>
      <c r="B104" s="4">
        <v>80.899999999999991</v>
      </c>
    </row>
    <row r="105" spans="1:2" x14ac:dyDescent="0.2">
      <c r="A105" s="2" t="s">
        <v>19</v>
      </c>
      <c r="B105" s="4">
        <v>78.899999999999991</v>
      </c>
    </row>
    <row r="106" spans="1:2" x14ac:dyDescent="0.2">
      <c r="A106" s="2" t="s">
        <v>18</v>
      </c>
      <c r="B106" s="4">
        <v>83.960000000000008</v>
      </c>
    </row>
    <row r="107" spans="1:2" x14ac:dyDescent="0.2">
      <c r="A107" s="2" t="s">
        <v>21</v>
      </c>
      <c r="B107" s="4">
        <v>78.875</v>
      </c>
    </row>
    <row r="108" spans="1:2" x14ac:dyDescent="0.2">
      <c r="A108" s="2" t="s">
        <v>20</v>
      </c>
      <c r="B108" s="4">
        <v>73.770588235294127</v>
      </c>
    </row>
    <row r="109" spans="1:2" x14ac:dyDescent="0.2">
      <c r="A109" s="2" t="s">
        <v>17</v>
      </c>
      <c r="B109" s="4">
        <v>78.3</v>
      </c>
    </row>
    <row r="110" spans="1:2" x14ac:dyDescent="0.2">
      <c r="A110" s="2" t="s">
        <v>15</v>
      </c>
      <c r="B110" s="4">
        <v>85.924999999999997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S4_Dashboard</vt:lpstr>
      <vt:lpstr>Dashboard_Data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Boanerjes Wann</dc:creator>
  <cp:lastModifiedBy>Boanerjes Wann</cp:lastModifiedBy>
  <dcterms:created xsi:type="dcterms:W3CDTF">2026-06-20T12:40:33Z</dcterms:created>
  <dcterms:modified xsi:type="dcterms:W3CDTF">2026-06-20T12:41:42Z</dcterms:modified>
</cp:coreProperties>
</file>